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255" yWindow="960" windowWidth="22065" windowHeight="12015"/>
  </bookViews>
  <sheets>
    <sheet name="ALES 123" sheetId="1" r:id="rId1"/>
    <sheet name="ALES 123 Alternate" sheetId="5" r:id="rId2"/>
    <sheet name="ALES 200" sheetId="4" r:id="rId3"/>
    <sheet name="ALES 200 Alternate" sheetId="6" r:id="rId4"/>
    <sheet name="ALES Radian" sheetId="8" r:id="rId5"/>
    <sheet name="X5J" sheetId="7" r:id="rId6"/>
    <sheet name="F5J" sheetId="9" r:id="rId7"/>
    <sheet name="F3K" sheetId="2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K4" i="1"/>
  <c r="G5" i="1"/>
  <c r="K5" i="1"/>
  <c r="G6" i="1"/>
  <c r="K6" i="1"/>
  <c r="G7" i="1"/>
  <c r="K7" i="1"/>
  <c r="G8" i="1"/>
  <c r="K8" i="1"/>
  <c r="G9" i="1"/>
  <c r="K9" i="1"/>
  <c r="G10" i="1"/>
  <c r="K10" i="1"/>
  <c r="G11" i="1"/>
  <c r="K11" i="1"/>
  <c r="G12" i="1"/>
  <c r="K12" i="1"/>
  <c r="G13" i="1"/>
  <c r="K13" i="1"/>
  <c r="G14" i="1"/>
  <c r="K14" i="1"/>
  <c r="G15" i="1"/>
  <c r="K15" i="1"/>
  <c r="G16" i="1"/>
  <c r="K16" i="1"/>
  <c r="G17" i="1"/>
  <c r="K17" i="1"/>
  <c r="G18" i="1"/>
  <c r="K18" i="1"/>
  <c r="O23" i="8" l="1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O5" i="8"/>
  <c r="O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W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4" i="9"/>
  <c r="O5" i="7"/>
  <c r="S23" i="7"/>
  <c r="O23" i="7"/>
  <c r="K23" i="7"/>
  <c r="G23" i="7"/>
  <c r="C23" i="7" s="1"/>
  <c r="S22" i="7"/>
  <c r="O22" i="7"/>
  <c r="K22" i="7"/>
  <c r="G22" i="7"/>
  <c r="C22" i="7" s="1"/>
  <c r="S21" i="7"/>
  <c r="O21" i="7"/>
  <c r="K21" i="7"/>
  <c r="C21" i="7" s="1"/>
  <c r="G21" i="7"/>
  <c r="S20" i="7"/>
  <c r="O20" i="7"/>
  <c r="K20" i="7"/>
  <c r="G20" i="7"/>
  <c r="S19" i="7"/>
  <c r="O19" i="7"/>
  <c r="K19" i="7"/>
  <c r="G19" i="7"/>
  <c r="S18" i="7"/>
  <c r="O18" i="7"/>
  <c r="K18" i="7"/>
  <c r="G18" i="7"/>
  <c r="S17" i="7"/>
  <c r="O17" i="7"/>
  <c r="K17" i="7"/>
  <c r="G17" i="7"/>
  <c r="S16" i="7"/>
  <c r="O16" i="7"/>
  <c r="K16" i="7"/>
  <c r="G16" i="7"/>
  <c r="C16" i="7" s="1"/>
  <c r="S15" i="7"/>
  <c r="O15" i="7"/>
  <c r="K15" i="7"/>
  <c r="G15" i="7"/>
  <c r="C15" i="7" s="1"/>
  <c r="S14" i="7"/>
  <c r="O14" i="7"/>
  <c r="K14" i="7"/>
  <c r="G14" i="7"/>
  <c r="C14" i="7" s="1"/>
  <c r="S13" i="7"/>
  <c r="O13" i="7"/>
  <c r="K13" i="7"/>
  <c r="C13" i="7" s="1"/>
  <c r="G13" i="7"/>
  <c r="S12" i="7"/>
  <c r="O12" i="7"/>
  <c r="K12" i="7"/>
  <c r="G12" i="7"/>
  <c r="S11" i="7"/>
  <c r="O11" i="7"/>
  <c r="K11" i="7"/>
  <c r="G11" i="7"/>
  <c r="C11" i="7" s="1"/>
  <c r="S10" i="7"/>
  <c r="O10" i="7"/>
  <c r="K10" i="7"/>
  <c r="G10" i="7"/>
  <c r="S9" i="7"/>
  <c r="O9" i="7"/>
  <c r="K9" i="7"/>
  <c r="G9" i="7"/>
  <c r="S8" i="7"/>
  <c r="O8" i="7"/>
  <c r="K8" i="7"/>
  <c r="G8" i="7"/>
  <c r="S7" i="7"/>
  <c r="O7" i="7"/>
  <c r="K7" i="7"/>
  <c r="G7" i="7"/>
  <c r="S6" i="7"/>
  <c r="O6" i="7"/>
  <c r="K6" i="7"/>
  <c r="G6" i="7"/>
  <c r="S5" i="7"/>
  <c r="K5" i="7"/>
  <c r="G5" i="7"/>
  <c r="S4" i="7"/>
  <c r="O4" i="7"/>
  <c r="K4" i="7"/>
  <c r="G4" i="7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O23" i="6"/>
  <c r="O22" i="6"/>
  <c r="O21" i="6"/>
  <c r="O20" i="6"/>
  <c r="O19" i="6"/>
  <c r="O18" i="6"/>
  <c r="O17" i="6"/>
  <c r="O16" i="6"/>
  <c r="O15" i="6"/>
  <c r="O14" i="6"/>
  <c r="O13" i="6"/>
  <c r="O12" i="6"/>
  <c r="C12" i="6" s="1"/>
  <c r="O11" i="6"/>
  <c r="O10" i="6"/>
  <c r="O9" i="6"/>
  <c r="O8" i="6"/>
  <c r="O7" i="6"/>
  <c r="O6" i="6"/>
  <c r="O5" i="6"/>
  <c r="O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G5" i="6"/>
  <c r="G6" i="6"/>
  <c r="G7" i="6"/>
  <c r="G8" i="6"/>
  <c r="G9" i="6"/>
  <c r="G10" i="6"/>
  <c r="C10" i="6" s="1"/>
  <c r="G11" i="6"/>
  <c r="G12" i="6"/>
  <c r="G13" i="6"/>
  <c r="C13" i="6" s="1"/>
  <c r="G14" i="6"/>
  <c r="G15" i="6"/>
  <c r="G16" i="6"/>
  <c r="G17" i="6"/>
  <c r="G18" i="6"/>
  <c r="C18" i="6" s="1"/>
  <c r="G19" i="6"/>
  <c r="G20" i="6"/>
  <c r="G21" i="6"/>
  <c r="C21" i="6" s="1"/>
  <c r="G22" i="6"/>
  <c r="C22" i="6" s="1"/>
  <c r="G23" i="6"/>
  <c r="G4" i="6"/>
  <c r="G4" i="5"/>
  <c r="C20" i="6"/>
  <c r="C21" i="9" l="1"/>
  <c r="C22" i="9"/>
  <c r="C8" i="9"/>
  <c r="C12" i="9"/>
  <c r="C5" i="9"/>
  <c r="C7" i="9"/>
  <c r="C17" i="9"/>
  <c r="C19" i="9"/>
  <c r="C13" i="9"/>
  <c r="C23" i="9"/>
  <c r="C6" i="9"/>
  <c r="C16" i="9"/>
  <c r="C9" i="9"/>
  <c r="C11" i="9"/>
  <c r="C15" i="9"/>
  <c r="C10" i="9"/>
  <c r="C4" i="9"/>
  <c r="C14" i="9"/>
  <c r="C18" i="9"/>
  <c r="C20" i="9"/>
  <c r="C22" i="8"/>
  <c r="C5" i="8"/>
  <c r="C18" i="8"/>
  <c r="C6" i="8"/>
  <c r="C8" i="8"/>
  <c r="C16" i="8"/>
  <c r="C20" i="8"/>
  <c r="C7" i="8"/>
  <c r="C23" i="8"/>
  <c r="C14" i="8"/>
  <c r="C4" i="8"/>
  <c r="C15" i="8"/>
  <c r="C12" i="8"/>
  <c r="C10" i="8"/>
  <c r="C13" i="8"/>
  <c r="C21" i="8"/>
  <c r="C17" i="8"/>
  <c r="C11" i="8"/>
  <c r="C9" i="8"/>
  <c r="C19" i="8"/>
  <c r="C7" i="7"/>
  <c r="C5" i="7"/>
  <c r="C4" i="7"/>
  <c r="C18" i="7"/>
  <c r="C20" i="7"/>
  <c r="C12" i="7"/>
  <c r="C17" i="7"/>
  <c r="C19" i="7"/>
  <c r="C6" i="7"/>
  <c r="C9" i="7"/>
  <c r="C8" i="7"/>
  <c r="C10" i="7"/>
  <c r="C5" i="6"/>
  <c r="C8" i="6"/>
  <c r="C9" i="6"/>
  <c r="C17" i="6"/>
  <c r="C14" i="6"/>
  <c r="C16" i="6"/>
  <c r="C23" i="6"/>
  <c r="C15" i="6"/>
  <c r="C7" i="6"/>
  <c r="C19" i="6"/>
  <c r="C11" i="6"/>
  <c r="C6" i="6"/>
  <c r="C4" i="6"/>
  <c r="O23" i="5" l="1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C9" i="5" l="1"/>
  <c r="C10" i="5"/>
  <c r="C11" i="5"/>
  <c r="C17" i="5"/>
  <c r="C18" i="5"/>
  <c r="C19" i="5"/>
  <c r="C20" i="5"/>
  <c r="C21" i="5"/>
  <c r="C23" i="5"/>
  <c r="C22" i="5"/>
  <c r="C16" i="5"/>
  <c r="C15" i="5"/>
  <c r="C14" i="5"/>
  <c r="C13" i="5"/>
  <c r="C12" i="5"/>
  <c r="C8" i="5"/>
  <c r="C7" i="5"/>
  <c r="C6" i="5" l="1"/>
  <c r="C5" i="5"/>
  <c r="C4" i="5"/>
  <c r="G9" i="4"/>
  <c r="G10" i="4"/>
  <c r="G11" i="4"/>
  <c r="G12" i="4"/>
  <c r="G13" i="4"/>
  <c r="G14" i="4"/>
  <c r="G15" i="4"/>
  <c r="G16" i="4"/>
  <c r="C16" i="4" s="1"/>
  <c r="G17" i="4"/>
  <c r="G18" i="4"/>
  <c r="G19" i="4"/>
  <c r="G20" i="4"/>
  <c r="G21" i="4"/>
  <c r="G22" i="4"/>
  <c r="G23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7" i="4"/>
  <c r="G5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O23" i="4"/>
  <c r="O22" i="4"/>
  <c r="O21" i="4"/>
  <c r="O20" i="4"/>
  <c r="O19" i="4"/>
  <c r="O18" i="4"/>
  <c r="O17" i="4"/>
  <c r="O16" i="4"/>
  <c r="O15" i="4"/>
  <c r="O14" i="4"/>
  <c r="O13" i="4"/>
  <c r="C13" i="4" s="1"/>
  <c r="O12" i="4"/>
  <c r="C12" i="4" s="1"/>
  <c r="O11" i="4"/>
  <c r="O10" i="4"/>
  <c r="O9" i="4"/>
  <c r="O8" i="4"/>
  <c r="G8" i="4"/>
  <c r="O7" i="4"/>
  <c r="G7" i="4"/>
  <c r="O6" i="4"/>
  <c r="K6" i="4"/>
  <c r="G6" i="4"/>
  <c r="O5" i="4"/>
  <c r="K5" i="4"/>
  <c r="O4" i="4"/>
  <c r="K4" i="4"/>
  <c r="G4" i="4"/>
  <c r="G19" i="1"/>
  <c r="G20" i="1"/>
  <c r="G21" i="1"/>
  <c r="G22" i="1"/>
  <c r="G23" i="1"/>
  <c r="K19" i="1"/>
  <c r="K20" i="1"/>
  <c r="K21" i="1"/>
  <c r="K22" i="1"/>
  <c r="K23" i="1"/>
  <c r="O5" i="1"/>
  <c r="C5" i="1" s="1"/>
  <c r="O6" i="1"/>
  <c r="C6" i="1" s="1"/>
  <c r="O7" i="1"/>
  <c r="C7" i="1" s="1"/>
  <c r="O8" i="1"/>
  <c r="C8" i="1" s="1"/>
  <c r="O9" i="1"/>
  <c r="C9" i="1" s="1"/>
  <c r="O10" i="1"/>
  <c r="C10" i="1" s="1"/>
  <c r="O11" i="1"/>
  <c r="C11" i="1" s="1"/>
  <c r="O12" i="1"/>
  <c r="C12" i="1" s="1"/>
  <c r="O13" i="1"/>
  <c r="C13" i="1" s="1"/>
  <c r="O14" i="1"/>
  <c r="C14" i="1" s="1"/>
  <c r="O15" i="1"/>
  <c r="C15" i="1" s="1"/>
  <c r="O16" i="1"/>
  <c r="C16" i="1" s="1"/>
  <c r="O17" i="1"/>
  <c r="C17" i="1" s="1"/>
  <c r="O18" i="1"/>
  <c r="C18" i="1" s="1"/>
  <c r="O19" i="1"/>
  <c r="O20" i="1"/>
  <c r="O21" i="1"/>
  <c r="O22" i="1"/>
  <c r="O23" i="1"/>
  <c r="O4" i="1"/>
  <c r="C4" i="1" s="1"/>
  <c r="C21" i="1"/>
  <c r="H8" i="2"/>
  <c r="N8" i="2"/>
  <c r="Z8" i="2"/>
  <c r="AJ8" i="2"/>
  <c r="H9" i="2"/>
  <c r="N9" i="2"/>
  <c r="Z9" i="2"/>
  <c r="AJ9" i="2"/>
  <c r="H10" i="2"/>
  <c r="N10" i="2"/>
  <c r="Z10" i="2"/>
  <c r="AJ10" i="2"/>
  <c r="H11" i="2"/>
  <c r="N11" i="2"/>
  <c r="Z11" i="2"/>
  <c r="AJ11" i="2"/>
  <c r="H12" i="2"/>
  <c r="N12" i="2"/>
  <c r="Z12" i="2"/>
  <c r="AJ12" i="2"/>
  <c r="H13" i="2"/>
  <c r="N13" i="2"/>
  <c r="Z13" i="2"/>
  <c r="AJ13" i="2"/>
  <c r="H14" i="2"/>
  <c r="N14" i="2"/>
  <c r="Z14" i="2"/>
  <c r="AJ14" i="2"/>
  <c r="H15" i="2"/>
  <c r="N15" i="2"/>
  <c r="Z15" i="2"/>
  <c r="AJ15" i="2"/>
  <c r="H16" i="2"/>
  <c r="N16" i="2"/>
  <c r="Z16" i="2"/>
  <c r="AJ16" i="2"/>
  <c r="H17" i="2"/>
  <c r="N17" i="2"/>
  <c r="Z17" i="2"/>
  <c r="AJ17" i="2"/>
  <c r="H18" i="2"/>
  <c r="N18" i="2"/>
  <c r="Z18" i="2"/>
  <c r="AJ18" i="2"/>
  <c r="H19" i="2"/>
  <c r="N19" i="2"/>
  <c r="Z19" i="2"/>
  <c r="AJ19" i="2"/>
  <c r="H20" i="2"/>
  <c r="N20" i="2"/>
  <c r="Z20" i="2"/>
  <c r="AJ20" i="2"/>
  <c r="H21" i="2"/>
  <c r="N21" i="2"/>
  <c r="Z21" i="2"/>
  <c r="AJ21" i="2"/>
  <c r="H22" i="2"/>
  <c r="N22" i="2"/>
  <c r="Z22" i="2"/>
  <c r="AJ22" i="2"/>
  <c r="H23" i="2"/>
  <c r="N23" i="2"/>
  <c r="Z23" i="2"/>
  <c r="AJ23" i="2"/>
  <c r="AJ5" i="2"/>
  <c r="AJ6" i="2"/>
  <c r="AJ7" i="2"/>
  <c r="Z5" i="2"/>
  <c r="Z6" i="2"/>
  <c r="Z7" i="2"/>
  <c r="AJ4" i="2"/>
  <c r="Z4" i="2"/>
  <c r="N5" i="2"/>
  <c r="N6" i="2"/>
  <c r="N7" i="2"/>
  <c r="N4" i="2"/>
  <c r="H5" i="2"/>
  <c r="H6" i="2"/>
  <c r="H7" i="2"/>
  <c r="H4" i="2"/>
  <c r="C22" i="1"/>
  <c r="C4" i="2" l="1"/>
  <c r="C4" i="4"/>
  <c r="C5" i="4"/>
  <c r="C5" i="2"/>
  <c r="C6" i="2"/>
  <c r="C18" i="4"/>
  <c r="C11" i="4"/>
  <c r="C22" i="4"/>
  <c r="C14" i="4"/>
  <c r="C21" i="4"/>
  <c r="C20" i="4"/>
  <c r="C19" i="4"/>
  <c r="C17" i="4"/>
  <c r="C10" i="4"/>
  <c r="C23" i="4"/>
  <c r="C15" i="4"/>
  <c r="C9" i="4"/>
  <c r="C8" i="4"/>
  <c r="C7" i="4"/>
  <c r="C6" i="4"/>
  <c r="C20" i="1"/>
  <c r="C23" i="1"/>
  <c r="C19" i="1"/>
  <c r="C7" i="2"/>
  <c r="C17" i="2"/>
  <c r="C19" i="2"/>
  <c r="C15" i="2"/>
  <c r="C11" i="2"/>
  <c r="C9" i="2"/>
  <c r="C22" i="2"/>
  <c r="C20" i="2"/>
  <c r="C18" i="2"/>
  <c r="C16" i="2"/>
  <c r="C14" i="2"/>
  <c r="C12" i="2"/>
  <c r="C10" i="2"/>
  <c r="C8" i="2"/>
  <c r="C23" i="2"/>
  <c r="C21" i="2"/>
  <c r="C13" i="2"/>
</calcChain>
</file>

<file path=xl/sharedStrings.xml><?xml version="1.0" encoding="utf-8"?>
<sst xmlns="http://schemas.openxmlformats.org/spreadsheetml/2006/main" count="324" uniqueCount="47">
  <si>
    <t>Pilot</t>
  </si>
  <si>
    <t>MFNZ</t>
  </si>
  <si>
    <t xml:space="preserve">Time </t>
  </si>
  <si>
    <t>Landing</t>
  </si>
  <si>
    <t>Total</t>
  </si>
  <si>
    <t>R1 Score</t>
  </si>
  <si>
    <t>R3 Score</t>
  </si>
  <si>
    <t>R2 Score</t>
  </si>
  <si>
    <t>Score</t>
  </si>
  <si>
    <t>Min</t>
  </si>
  <si>
    <t>Sec</t>
  </si>
  <si>
    <t>Task D Two Flights only, 5 minute max</t>
  </si>
  <si>
    <t>Task B Last 2, 4 minute max</t>
  </si>
  <si>
    <t>Total Score</t>
  </si>
  <si>
    <t>Task G Best 5 flights, 2 minute max</t>
  </si>
  <si>
    <t>Task H Best 4 flights 1,2,3,4 maximum (flown any order, enter in order!)</t>
  </si>
  <si>
    <t>MFNZ #</t>
  </si>
  <si>
    <t>F3K NDC</t>
  </si>
  <si>
    <t>ALES 123</t>
  </si>
  <si>
    <t>ALES 200</t>
  </si>
  <si>
    <t>R4 Score</t>
  </si>
  <si>
    <t>Flight 1</t>
  </si>
  <si>
    <t>Flight 2</t>
  </si>
  <si>
    <t>Flight 3</t>
  </si>
  <si>
    <t>Flight 4</t>
  </si>
  <si>
    <t>Flight 5</t>
  </si>
  <si>
    <t>Round 1</t>
  </si>
  <si>
    <t>Round 2</t>
  </si>
  <si>
    <t>Round 3</t>
  </si>
  <si>
    <t>Landing Score</t>
  </si>
  <si>
    <t xml:space="preserve">&lt;1 m </t>
  </si>
  <si>
    <t>&lt;2m</t>
  </si>
  <si>
    <t>FAI Tape</t>
  </si>
  <si>
    <t>Distance</t>
  </si>
  <si>
    <t>&lt;3m</t>
  </si>
  <si>
    <t>&lt;4m</t>
  </si>
  <si>
    <t>&lt;5m</t>
  </si>
  <si>
    <t>&lt;6m</t>
  </si>
  <si>
    <t>&lt;7m</t>
  </si>
  <si>
    <t>&lt;8m</t>
  </si>
  <si>
    <t>&lt;9m</t>
  </si>
  <si>
    <t>&lt;10m</t>
  </si>
  <si>
    <t>&gt;10m</t>
  </si>
  <si>
    <t>Round 4</t>
  </si>
  <si>
    <t>Date</t>
  </si>
  <si>
    <t>Height</t>
  </si>
  <si>
    <t>ALES Radian Class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</si>
</sst>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Protection="1"/>
    <xf numFmtId="0" fontId="0" fillId="0" borderId="0" xfId="0" applyProtection="1">
      <protection locked="0"/>
    </xf>
    <xf numFmtId="0" fontId="0" fillId="0" borderId="1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11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1" fontId="0" fillId="2" borderId="1" xfId="0" applyNumberForma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3" xfId="0" applyFill="1" applyBorder="1" applyProtection="1">
      <protection locked="0"/>
    </xf>
    <xf numFmtId="1" fontId="0" fillId="2" borderId="3" xfId="0" applyNumberFormat="1" applyFill="1" applyBorder="1" applyProtection="1">
      <protection locked="0"/>
    </xf>
    <xf numFmtId="0" fontId="0" fillId="0" borderId="17" xfId="0" applyBorder="1" applyProtection="1"/>
    <xf numFmtId="1" fontId="0" fillId="2" borderId="7" xfId="0" applyNumberFormat="1" applyFill="1" applyBorder="1" applyProtection="1">
      <protection locked="0"/>
    </xf>
    <xf numFmtId="1" fontId="0" fillId="0" borderId="8" xfId="0" applyNumberFormat="1" applyBorder="1" applyProtection="1"/>
    <xf numFmtId="1" fontId="0" fillId="2" borderId="9" xfId="0" applyNumberFormat="1" applyFill="1" applyBorder="1" applyProtection="1">
      <protection locked="0"/>
    </xf>
    <xf numFmtId="1" fontId="0" fillId="0" borderId="10" xfId="0" applyNumberFormat="1" applyBorder="1" applyProtection="1"/>
    <xf numFmtId="0" fontId="0" fillId="2" borderId="9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1" fontId="0" fillId="0" borderId="13" xfId="0" applyNumberFormat="1" applyBorder="1" applyProtection="1"/>
    <xf numFmtId="0" fontId="0" fillId="2" borderId="7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2" borderId="20" xfId="0" applyFill="1" applyBorder="1" applyProtection="1">
      <protection locked="0"/>
    </xf>
    <xf numFmtId="0" fontId="1" fillId="0" borderId="2" xfId="0" applyFont="1" applyBorder="1" applyProtection="1"/>
    <xf numFmtId="1" fontId="1" fillId="0" borderId="21" xfId="0" applyNumberFormat="1" applyFont="1" applyBorder="1" applyProtection="1"/>
    <xf numFmtId="1" fontId="1" fillId="0" borderId="22" xfId="0" applyNumberFormat="1" applyFont="1" applyBorder="1" applyProtection="1"/>
    <xf numFmtId="1" fontId="1" fillId="0" borderId="23" xfId="0" applyNumberFormat="1" applyFont="1" applyBorder="1" applyProtection="1"/>
    <xf numFmtId="0" fontId="0" fillId="0" borderId="4" xfId="0" applyBorder="1" applyAlignment="1" applyProtection="1">
      <alignment horizontal="center"/>
    </xf>
    <xf numFmtId="0" fontId="1" fillId="0" borderId="24" xfId="0" applyFont="1" applyBorder="1" applyProtection="1"/>
    <xf numFmtId="1" fontId="1" fillId="0" borderId="25" xfId="0" applyNumberFormat="1" applyFont="1" applyBorder="1" applyProtection="1"/>
    <xf numFmtId="1" fontId="1" fillId="0" borderId="26" xfId="0" applyNumberFormat="1" applyFont="1" applyBorder="1" applyProtection="1"/>
    <xf numFmtId="1" fontId="1" fillId="0" borderId="27" xfId="0" applyNumberFormat="1" applyFont="1" applyBorder="1" applyProtection="1"/>
    <xf numFmtId="0" fontId="0" fillId="0" borderId="4" xfId="0" applyBorder="1"/>
    <xf numFmtId="0" fontId="0" fillId="0" borderId="6" xfId="0" applyBorder="1"/>
    <xf numFmtId="0" fontId="0" fillId="0" borderId="30" xfId="0" applyBorder="1"/>
    <xf numFmtId="0" fontId="0" fillId="0" borderId="31" xfId="0" applyBorder="1"/>
    <xf numFmtId="164" fontId="0" fillId="0" borderId="32" xfId="0" applyNumberFormat="1" applyBorder="1"/>
    <xf numFmtId="164" fontId="0" fillId="0" borderId="33" xfId="0" applyNumberFormat="1" applyBorder="1"/>
    <xf numFmtId="164" fontId="0" fillId="0" borderId="34" xfId="0" applyNumberFormat="1" applyBorder="1"/>
    <xf numFmtId="164" fontId="0" fillId="2" borderId="8" xfId="0" applyNumberFormat="1" applyFill="1" applyBorder="1" applyProtection="1">
      <protection locked="0"/>
    </xf>
    <xf numFmtId="164" fontId="0" fillId="2" borderId="10" xfId="0" applyNumberFormat="1" applyFill="1" applyBorder="1" applyProtection="1">
      <protection locked="0"/>
    </xf>
    <xf numFmtId="1" fontId="0" fillId="2" borderId="11" xfId="0" applyNumberFormat="1" applyFill="1" applyBorder="1" applyProtection="1">
      <protection locked="0"/>
    </xf>
    <xf numFmtId="164" fontId="0" fillId="2" borderId="13" xfId="0" applyNumberFormat="1" applyFill="1" applyBorder="1" applyProtection="1">
      <protection locked="0"/>
    </xf>
    <xf numFmtId="0" fontId="0" fillId="0" borderId="35" xfId="0" applyBorder="1" applyAlignment="1" applyProtection="1">
      <alignment horizontal="center"/>
    </xf>
    <xf numFmtId="0" fontId="0" fillId="0" borderId="36" xfId="0" applyBorder="1" applyAlignment="1" applyProtection="1">
      <alignment horizontal="center"/>
    </xf>
    <xf numFmtId="0" fontId="0" fillId="0" borderId="28" xfId="0" applyFill="1" applyBorder="1" applyAlignment="1" applyProtection="1">
      <alignment horizontal="center"/>
    </xf>
    <xf numFmtId="0" fontId="0" fillId="0" borderId="29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0" fillId="0" borderId="11" xfId="0" applyFill="1" applyBorder="1" applyAlignment="1" applyProtection="1">
      <alignment horizontal="center"/>
    </xf>
    <xf numFmtId="0" fontId="0" fillId="0" borderId="13" xfId="0" applyFill="1" applyBorder="1" applyAlignment="1" applyProtection="1">
      <alignment horizontal="center"/>
    </xf>
    <xf numFmtId="0" fontId="0" fillId="0" borderId="37" xfId="0" applyBorder="1" applyAlignment="1" applyProtection="1">
      <alignment horizontal="center"/>
    </xf>
    <xf numFmtId="0" fontId="0" fillId="0" borderId="38" xfId="0" applyBorder="1" applyProtection="1"/>
    <xf numFmtId="14" fontId="0" fillId="2" borderId="6" xfId="0" applyNumberFormat="1" applyFill="1" applyBorder="1" applyProtection="1">
      <protection locked="0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2" dropStyle="combo" dx="43" fmlaLink="$Q$1" fmlaRange="$S$1:$S$2" noThreeD="1" sel="1" val="0"/>
</file>

<file path=xl/ctrlProps/ctrlProp2.xml><?xml version="1.0" encoding="utf-8"?>
<formControlPr xmlns="http://schemas.microsoft.com/office/spreadsheetml/2009/9/main" objectType="Drop" dropLines="2" dropStyle="combo" dx="43" fmlaLink="$U$1" fmlaRange="$W$1:$W$2" noThreeD="1" sel="2" val="0"/>
</file>

<file path=xl/ctrlProps/ctrlProp3.xml><?xml version="1.0" encoding="utf-8"?>
<formControlPr xmlns="http://schemas.microsoft.com/office/spreadsheetml/2009/9/main" objectType="Drop" dropLines="2" dropStyle="combo" dx="43" fmlaLink="$Q$1" fmlaRange="$S$1:$S$2" noThreeD="1" sel="1" val="0"/>
</file>

<file path=xl/ctrlProps/ctrlProp4.xml><?xml version="1.0" encoding="utf-8"?>
<formControlPr xmlns="http://schemas.microsoft.com/office/spreadsheetml/2009/9/main" objectType="Drop" dropLines="2" dropStyle="combo" dx="43" fmlaLink="$U$1" fmlaRange="$W$1:$W$2" noThreeD="1" sel="1" val="0"/>
</file>

<file path=xl/ctrlProps/ctrlProp5.xml><?xml version="1.0" encoding="utf-8"?>
<formControlPr xmlns="http://schemas.microsoft.com/office/spreadsheetml/2009/9/main" objectType="Drop" dropLines="2" dropStyle="combo" dx="43" fmlaLink="$Y$1" fmlaRange="$AA$1:$AA$2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1</xdr:row>
          <xdr:rowOff>171450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0</xdr:rowOff>
        </xdr:from>
        <xdr:to>
          <xdr:col>23</xdr:col>
          <xdr:colOff>0</xdr:colOff>
          <xdr:row>1</xdr:row>
          <xdr:rowOff>171450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690DF515-2754-432F-82B9-8A82BBA41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1</xdr:row>
          <xdr:rowOff>171450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427FEB99-33B3-4DD3-BC7A-429451A7A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0</xdr:rowOff>
        </xdr:from>
        <xdr:to>
          <xdr:col>23</xdr:col>
          <xdr:colOff>0</xdr:colOff>
          <xdr:row>1</xdr:row>
          <xdr:rowOff>171450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A760F09D-801D-4B23-8020-524FD7CAE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BAF19A-DAF1-4D12-9AF2-A072A00A0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3"/>
  <sheetViews>
    <sheetView tabSelected="1" workbookViewId="0">
      <selection activeCell="B2" sqref="B2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7.5703125" style="3" bestFit="1" customWidth="1"/>
    <col min="8" max="9" width="4.7109375" style="3" customWidth="1"/>
    <col min="10" max="10" width="7" style="3" bestFit="1" customWidth="1"/>
    <col min="11" max="11" width="7.5703125" style="3" bestFit="1" customWidth="1"/>
    <col min="12" max="13" width="4.7109375" style="3" customWidth="1"/>
    <col min="14" max="14" width="7" style="3" bestFit="1" customWidth="1"/>
    <col min="15" max="15" width="7.5703125" style="3" bestFit="1" customWidth="1"/>
    <col min="16" max="16" width="9" style="3"/>
    <col min="17" max="17" width="7.5703125" style="3" bestFit="1" customWidth="1"/>
    <col min="18" max="18" width="7.42578125" style="3" bestFit="1" customWidth="1"/>
    <col min="19" max="19" width="11.7109375" style="3" bestFit="1" customWidth="1"/>
    <col min="20" max="16384" width="9" style="3"/>
  </cols>
  <sheetData>
    <row r="1" spans="1:19" ht="15.75" thickBot="1" x14ac:dyDescent="0.3">
      <c r="A1" s="3" t="s">
        <v>18</v>
      </c>
    </row>
    <row r="2" spans="1:19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</row>
    <row r="3" spans="1:19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Q3" s="7" t="s">
        <v>33</v>
      </c>
      <c r="R3" s="8" t="s">
        <v>32</v>
      </c>
      <c r="S3" s="9" t="s">
        <v>29</v>
      </c>
    </row>
    <row r="4" spans="1:19" x14ac:dyDescent="0.25">
      <c r="A4" s="36"/>
      <c r="B4" s="37"/>
      <c r="C4" s="41">
        <f>G4+K4+O4</f>
        <v>0</v>
      </c>
      <c r="D4" s="28"/>
      <c r="E4" s="26"/>
      <c r="F4" s="25"/>
      <c r="G4" s="29">
        <f>360-ABS(360-(D4*60+E4))+F4</f>
        <v>0</v>
      </c>
      <c r="H4" s="28"/>
      <c r="I4" s="26"/>
      <c r="J4" s="25"/>
      <c r="K4" s="29">
        <f>360-ABS(360-(H4*60+I4))+J4</f>
        <v>0</v>
      </c>
      <c r="L4" s="28"/>
      <c r="M4" s="26"/>
      <c r="N4" s="26"/>
      <c r="O4" s="29">
        <f>360-ABS(360-(L4*60+M4))+N4</f>
        <v>0</v>
      </c>
      <c r="Q4" s="10" t="s">
        <v>30</v>
      </c>
      <c r="R4" s="17">
        <v>100</v>
      </c>
      <c r="S4" s="18">
        <v>50</v>
      </c>
    </row>
    <row r="5" spans="1:19" x14ac:dyDescent="0.25">
      <c r="A5" s="32"/>
      <c r="B5" s="38"/>
      <c r="C5" s="42">
        <f>G5+K5+O5</f>
        <v>0</v>
      </c>
      <c r="D5" s="30"/>
      <c r="E5" s="23"/>
      <c r="F5" s="24"/>
      <c r="G5" s="31">
        <f t="shared" ref="G5:G23" si="0">360-ABS(360-(D5*60+E5))+F5</f>
        <v>0</v>
      </c>
      <c r="H5" s="30"/>
      <c r="I5" s="23"/>
      <c r="J5" s="24"/>
      <c r="K5" s="31">
        <f t="shared" ref="K5:K23" si="1">360-ABS(360-(H5*60+I5))+J5</f>
        <v>0</v>
      </c>
      <c r="L5" s="30"/>
      <c r="M5" s="23"/>
      <c r="N5" s="23"/>
      <c r="O5" s="31">
        <f t="shared" ref="O5:O23" si="2">360-ABS(360-(L5*60+M5))+N5</f>
        <v>0</v>
      </c>
      <c r="Q5" s="12"/>
      <c r="R5" s="19">
        <v>99</v>
      </c>
      <c r="S5" s="20">
        <v>50</v>
      </c>
    </row>
    <row r="6" spans="1:19" x14ac:dyDescent="0.25">
      <c r="A6" s="32"/>
      <c r="B6" s="38"/>
      <c r="C6" s="42">
        <f>G6+K6+O6</f>
        <v>0</v>
      </c>
      <c r="D6" s="30"/>
      <c r="E6" s="23"/>
      <c r="F6" s="24"/>
      <c r="G6" s="31">
        <f t="shared" si="0"/>
        <v>0</v>
      </c>
      <c r="H6" s="30"/>
      <c r="I6" s="23"/>
      <c r="J6" s="24"/>
      <c r="K6" s="31">
        <f t="shared" si="1"/>
        <v>0</v>
      </c>
      <c r="L6" s="30"/>
      <c r="M6" s="23"/>
      <c r="N6" s="23"/>
      <c r="O6" s="31">
        <f t="shared" si="2"/>
        <v>0</v>
      </c>
      <c r="Q6" s="12"/>
      <c r="R6" s="19">
        <v>98</v>
      </c>
      <c r="S6" s="20">
        <v>50</v>
      </c>
    </row>
    <row r="7" spans="1:19" x14ac:dyDescent="0.25">
      <c r="A7" s="32"/>
      <c r="B7" s="38"/>
      <c r="C7" s="42">
        <f t="shared" ref="C7:C23" si="3">G7+K7+O7</f>
        <v>0</v>
      </c>
      <c r="D7" s="32"/>
      <c r="E7" s="24"/>
      <c r="F7" s="24"/>
      <c r="G7" s="31">
        <f t="shared" si="0"/>
        <v>0</v>
      </c>
      <c r="H7" s="32"/>
      <c r="I7" s="24"/>
      <c r="J7" s="24"/>
      <c r="K7" s="31">
        <f t="shared" si="1"/>
        <v>0</v>
      </c>
      <c r="L7" s="32"/>
      <c r="M7" s="24"/>
      <c r="N7" s="24"/>
      <c r="O7" s="31">
        <f t="shared" si="2"/>
        <v>0</v>
      </c>
      <c r="Q7" s="12"/>
      <c r="R7" s="19">
        <v>97</v>
      </c>
      <c r="S7" s="20">
        <v>50</v>
      </c>
    </row>
    <row r="8" spans="1:19" x14ac:dyDescent="0.25">
      <c r="A8" s="32"/>
      <c r="B8" s="38"/>
      <c r="C8" s="42">
        <f t="shared" si="3"/>
        <v>0</v>
      </c>
      <c r="D8" s="32"/>
      <c r="E8" s="24"/>
      <c r="F8" s="24"/>
      <c r="G8" s="31">
        <f t="shared" si="0"/>
        <v>0</v>
      </c>
      <c r="H8" s="32"/>
      <c r="I8" s="24"/>
      <c r="J8" s="24"/>
      <c r="K8" s="31">
        <f t="shared" si="1"/>
        <v>0</v>
      </c>
      <c r="L8" s="32"/>
      <c r="M8" s="24"/>
      <c r="N8" s="24"/>
      <c r="O8" s="31">
        <f t="shared" si="2"/>
        <v>0</v>
      </c>
      <c r="Q8" s="12"/>
      <c r="R8" s="19">
        <v>96</v>
      </c>
      <c r="S8" s="20">
        <v>50</v>
      </c>
    </row>
    <row r="9" spans="1:19" x14ac:dyDescent="0.25">
      <c r="A9" s="32"/>
      <c r="B9" s="38"/>
      <c r="C9" s="42">
        <f t="shared" si="3"/>
        <v>0</v>
      </c>
      <c r="D9" s="32"/>
      <c r="E9" s="24"/>
      <c r="F9" s="24"/>
      <c r="G9" s="31">
        <f t="shared" si="0"/>
        <v>0</v>
      </c>
      <c r="H9" s="32"/>
      <c r="I9" s="24"/>
      <c r="J9" s="24"/>
      <c r="K9" s="31">
        <f t="shared" si="1"/>
        <v>0</v>
      </c>
      <c r="L9" s="32"/>
      <c r="M9" s="24"/>
      <c r="N9" s="24"/>
      <c r="O9" s="31">
        <f t="shared" si="2"/>
        <v>0</v>
      </c>
      <c r="Q9" s="12" t="s">
        <v>31</v>
      </c>
      <c r="R9" s="19">
        <v>95</v>
      </c>
      <c r="S9" s="20">
        <v>45</v>
      </c>
    </row>
    <row r="10" spans="1:19" x14ac:dyDescent="0.25">
      <c r="A10" s="32"/>
      <c r="B10" s="38"/>
      <c r="C10" s="42">
        <f t="shared" si="3"/>
        <v>0</v>
      </c>
      <c r="D10" s="32"/>
      <c r="E10" s="24"/>
      <c r="F10" s="24"/>
      <c r="G10" s="31">
        <f t="shared" si="0"/>
        <v>0</v>
      </c>
      <c r="H10" s="32"/>
      <c r="I10" s="24"/>
      <c r="J10" s="24"/>
      <c r="K10" s="31">
        <f t="shared" si="1"/>
        <v>0</v>
      </c>
      <c r="L10" s="32"/>
      <c r="M10" s="24"/>
      <c r="N10" s="24"/>
      <c r="O10" s="31">
        <f t="shared" si="2"/>
        <v>0</v>
      </c>
      <c r="Q10" s="12"/>
      <c r="R10" s="19">
        <v>94</v>
      </c>
      <c r="S10" s="20">
        <v>45</v>
      </c>
    </row>
    <row r="11" spans="1:19" x14ac:dyDescent="0.25">
      <c r="A11" s="32"/>
      <c r="B11" s="38"/>
      <c r="C11" s="42">
        <f t="shared" si="3"/>
        <v>0</v>
      </c>
      <c r="D11" s="32"/>
      <c r="E11" s="24"/>
      <c r="F11" s="24"/>
      <c r="G11" s="31">
        <f t="shared" si="0"/>
        <v>0</v>
      </c>
      <c r="H11" s="32"/>
      <c r="I11" s="24"/>
      <c r="J11" s="24"/>
      <c r="K11" s="31">
        <f t="shared" si="1"/>
        <v>0</v>
      </c>
      <c r="L11" s="32"/>
      <c r="M11" s="24"/>
      <c r="N11" s="24"/>
      <c r="O11" s="31">
        <f t="shared" si="2"/>
        <v>0</v>
      </c>
      <c r="Q11" s="12"/>
      <c r="R11" s="19">
        <v>93</v>
      </c>
      <c r="S11" s="20">
        <v>45</v>
      </c>
    </row>
    <row r="12" spans="1:19" x14ac:dyDescent="0.25">
      <c r="A12" s="32"/>
      <c r="B12" s="38"/>
      <c r="C12" s="42">
        <f t="shared" si="3"/>
        <v>0</v>
      </c>
      <c r="D12" s="32"/>
      <c r="E12" s="24"/>
      <c r="F12" s="24"/>
      <c r="G12" s="31">
        <f t="shared" si="0"/>
        <v>0</v>
      </c>
      <c r="H12" s="32"/>
      <c r="I12" s="24"/>
      <c r="J12" s="24"/>
      <c r="K12" s="31">
        <f t="shared" si="1"/>
        <v>0</v>
      </c>
      <c r="L12" s="32"/>
      <c r="M12" s="24"/>
      <c r="N12" s="24"/>
      <c r="O12" s="31">
        <f t="shared" si="2"/>
        <v>0</v>
      </c>
      <c r="Q12" s="12"/>
      <c r="R12" s="19">
        <v>92</v>
      </c>
      <c r="S12" s="20">
        <v>45</v>
      </c>
    </row>
    <row r="13" spans="1:19" x14ac:dyDescent="0.25">
      <c r="A13" s="32"/>
      <c r="B13" s="38"/>
      <c r="C13" s="42">
        <f t="shared" si="3"/>
        <v>0</v>
      </c>
      <c r="D13" s="32"/>
      <c r="E13" s="24"/>
      <c r="F13" s="24"/>
      <c r="G13" s="31">
        <f t="shared" si="0"/>
        <v>0</v>
      </c>
      <c r="H13" s="32"/>
      <c r="I13" s="24"/>
      <c r="J13" s="24"/>
      <c r="K13" s="31">
        <f t="shared" si="1"/>
        <v>0</v>
      </c>
      <c r="L13" s="32"/>
      <c r="M13" s="24"/>
      <c r="N13" s="24"/>
      <c r="O13" s="31">
        <f t="shared" si="2"/>
        <v>0</v>
      </c>
      <c r="Q13" s="12"/>
      <c r="R13" s="19">
        <v>91</v>
      </c>
      <c r="S13" s="20">
        <v>45</v>
      </c>
    </row>
    <row r="14" spans="1:19" x14ac:dyDescent="0.25">
      <c r="A14" s="32"/>
      <c r="B14" s="38"/>
      <c r="C14" s="42">
        <f t="shared" si="3"/>
        <v>0</v>
      </c>
      <c r="D14" s="32"/>
      <c r="E14" s="24"/>
      <c r="F14" s="24"/>
      <c r="G14" s="31">
        <f t="shared" si="0"/>
        <v>0</v>
      </c>
      <c r="H14" s="32"/>
      <c r="I14" s="24"/>
      <c r="J14" s="24"/>
      <c r="K14" s="31">
        <f t="shared" si="1"/>
        <v>0</v>
      </c>
      <c r="L14" s="32"/>
      <c r="M14" s="24"/>
      <c r="N14" s="24"/>
      <c r="O14" s="31">
        <f t="shared" si="2"/>
        <v>0</v>
      </c>
      <c r="Q14" s="12" t="s">
        <v>34</v>
      </c>
      <c r="R14" s="19">
        <v>90</v>
      </c>
      <c r="S14" s="20">
        <v>40</v>
      </c>
    </row>
    <row r="15" spans="1:19" x14ac:dyDescent="0.25">
      <c r="A15" s="32"/>
      <c r="B15" s="38"/>
      <c r="C15" s="42">
        <f t="shared" si="3"/>
        <v>0</v>
      </c>
      <c r="D15" s="32"/>
      <c r="E15" s="24"/>
      <c r="F15" s="24"/>
      <c r="G15" s="31">
        <f t="shared" si="0"/>
        <v>0</v>
      </c>
      <c r="H15" s="32"/>
      <c r="I15" s="24"/>
      <c r="J15" s="24"/>
      <c r="K15" s="31">
        <f t="shared" si="1"/>
        <v>0</v>
      </c>
      <c r="L15" s="32"/>
      <c r="M15" s="24"/>
      <c r="N15" s="24"/>
      <c r="O15" s="31">
        <f t="shared" si="2"/>
        <v>0</v>
      </c>
      <c r="Q15" s="12" t="s">
        <v>35</v>
      </c>
      <c r="R15" s="19">
        <v>85</v>
      </c>
      <c r="S15" s="20">
        <v>35</v>
      </c>
    </row>
    <row r="16" spans="1:19" x14ac:dyDescent="0.25">
      <c r="A16" s="32"/>
      <c r="B16" s="38"/>
      <c r="C16" s="42">
        <f t="shared" si="3"/>
        <v>0</v>
      </c>
      <c r="D16" s="32"/>
      <c r="E16" s="24"/>
      <c r="F16" s="24"/>
      <c r="G16" s="31">
        <f t="shared" si="0"/>
        <v>0</v>
      </c>
      <c r="H16" s="32"/>
      <c r="I16" s="24"/>
      <c r="J16" s="24"/>
      <c r="K16" s="31">
        <f t="shared" si="1"/>
        <v>0</v>
      </c>
      <c r="L16" s="32"/>
      <c r="M16" s="24"/>
      <c r="N16" s="24"/>
      <c r="O16" s="31">
        <f t="shared" si="2"/>
        <v>0</v>
      </c>
      <c r="Q16" s="12" t="s">
        <v>36</v>
      </c>
      <c r="R16" s="19">
        <v>80</v>
      </c>
      <c r="S16" s="20">
        <v>30</v>
      </c>
    </row>
    <row r="17" spans="1:19" x14ac:dyDescent="0.25">
      <c r="A17" s="32"/>
      <c r="B17" s="38"/>
      <c r="C17" s="42">
        <f t="shared" si="3"/>
        <v>0</v>
      </c>
      <c r="D17" s="32"/>
      <c r="E17" s="24"/>
      <c r="F17" s="24"/>
      <c r="G17" s="31">
        <f t="shared" si="0"/>
        <v>0</v>
      </c>
      <c r="H17" s="32"/>
      <c r="I17" s="24"/>
      <c r="J17" s="24"/>
      <c r="K17" s="31">
        <f t="shared" si="1"/>
        <v>0</v>
      </c>
      <c r="L17" s="32"/>
      <c r="M17" s="24"/>
      <c r="N17" s="24"/>
      <c r="O17" s="31">
        <f t="shared" si="2"/>
        <v>0</v>
      </c>
      <c r="Q17" s="12" t="s">
        <v>37</v>
      </c>
      <c r="R17" s="19">
        <v>75</v>
      </c>
      <c r="S17" s="20">
        <v>25</v>
      </c>
    </row>
    <row r="18" spans="1:19" x14ac:dyDescent="0.25">
      <c r="A18" s="32"/>
      <c r="B18" s="38"/>
      <c r="C18" s="42">
        <f t="shared" si="3"/>
        <v>0</v>
      </c>
      <c r="D18" s="32"/>
      <c r="E18" s="24"/>
      <c r="F18" s="24"/>
      <c r="G18" s="31">
        <f t="shared" si="0"/>
        <v>0</v>
      </c>
      <c r="H18" s="32"/>
      <c r="I18" s="24"/>
      <c r="J18" s="24"/>
      <c r="K18" s="31">
        <f t="shared" si="1"/>
        <v>0</v>
      </c>
      <c r="L18" s="32"/>
      <c r="M18" s="24"/>
      <c r="N18" s="24"/>
      <c r="O18" s="31">
        <f t="shared" si="2"/>
        <v>0</v>
      </c>
      <c r="Q18" s="12" t="s">
        <v>38</v>
      </c>
      <c r="R18" s="19">
        <v>70</v>
      </c>
      <c r="S18" s="20">
        <v>20</v>
      </c>
    </row>
    <row r="19" spans="1:19" x14ac:dyDescent="0.25">
      <c r="A19" s="32"/>
      <c r="B19" s="38"/>
      <c r="C19" s="42">
        <f t="shared" si="3"/>
        <v>0</v>
      </c>
      <c r="D19" s="32"/>
      <c r="E19" s="24"/>
      <c r="F19" s="24"/>
      <c r="G19" s="31">
        <f t="shared" si="0"/>
        <v>0</v>
      </c>
      <c r="H19" s="32"/>
      <c r="I19" s="24"/>
      <c r="J19" s="24"/>
      <c r="K19" s="31">
        <f t="shared" si="1"/>
        <v>0</v>
      </c>
      <c r="L19" s="32"/>
      <c r="M19" s="24"/>
      <c r="N19" s="24"/>
      <c r="O19" s="31">
        <f t="shared" si="2"/>
        <v>0</v>
      </c>
      <c r="Q19" s="12" t="s">
        <v>39</v>
      </c>
      <c r="R19" s="19">
        <v>65</v>
      </c>
      <c r="S19" s="20">
        <v>15</v>
      </c>
    </row>
    <row r="20" spans="1:19" x14ac:dyDescent="0.25">
      <c r="A20" s="32"/>
      <c r="B20" s="38"/>
      <c r="C20" s="42">
        <f t="shared" si="3"/>
        <v>0</v>
      </c>
      <c r="D20" s="32"/>
      <c r="E20" s="24"/>
      <c r="F20" s="24"/>
      <c r="G20" s="31">
        <f t="shared" si="0"/>
        <v>0</v>
      </c>
      <c r="H20" s="32"/>
      <c r="I20" s="24"/>
      <c r="J20" s="24"/>
      <c r="K20" s="31">
        <f t="shared" si="1"/>
        <v>0</v>
      </c>
      <c r="L20" s="32"/>
      <c r="M20" s="24"/>
      <c r="N20" s="24"/>
      <c r="O20" s="31">
        <f t="shared" si="2"/>
        <v>0</v>
      </c>
      <c r="Q20" s="12" t="s">
        <v>40</v>
      </c>
      <c r="R20" s="19">
        <v>60</v>
      </c>
      <c r="S20" s="20">
        <v>10</v>
      </c>
    </row>
    <row r="21" spans="1:19" x14ac:dyDescent="0.25">
      <c r="A21" s="32"/>
      <c r="B21" s="38"/>
      <c r="C21" s="42">
        <f t="shared" si="3"/>
        <v>0</v>
      </c>
      <c r="D21" s="32"/>
      <c r="E21" s="24"/>
      <c r="F21" s="24"/>
      <c r="G21" s="31">
        <f t="shared" si="0"/>
        <v>0</v>
      </c>
      <c r="H21" s="32"/>
      <c r="I21" s="24"/>
      <c r="J21" s="24"/>
      <c r="K21" s="31">
        <f t="shared" si="1"/>
        <v>0</v>
      </c>
      <c r="L21" s="32"/>
      <c r="M21" s="24"/>
      <c r="N21" s="24"/>
      <c r="O21" s="31">
        <f t="shared" si="2"/>
        <v>0</v>
      </c>
      <c r="Q21" s="12" t="s">
        <v>41</v>
      </c>
      <c r="R21" s="19">
        <v>55</v>
      </c>
      <c r="S21" s="20">
        <v>5</v>
      </c>
    </row>
    <row r="22" spans="1:19" ht="15.75" thickBot="1" x14ac:dyDescent="0.3">
      <c r="A22" s="32"/>
      <c r="B22" s="38"/>
      <c r="C22" s="42">
        <f t="shared" si="3"/>
        <v>0</v>
      </c>
      <c r="D22" s="32"/>
      <c r="E22" s="24"/>
      <c r="F22" s="24"/>
      <c r="G22" s="31">
        <f t="shared" si="0"/>
        <v>0</v>
      </c>
      <c r="H22" s="32"/>
      <c r="I22" s="24"/>
      <c r="J22" s="24"/>
      <c r="K22" s="31">
        <f t="shared" si="1"/>
        <v>0</v>
      </c>
      <c r="L22" s="32"/>
      <c r="M22" s="24"/>
      <c r="N22" s="24"/>
      <c r="O22" s="31">
        <f t="shared" si="2"/>
        <v>0</v>
      </c>
      <c r="Q22" s="14" t="s">
        <v>42</v>
      </c>
      <c r="R22" s="21">
        <v>50</v>
      </c>
      <c r="S22" s="22">
        <v>0</v>
      </c>
    </row>
    <row r="23" spans="1:19" ht="15.75" thickBot="1" x14ac:dyDescent="0.3">
      <c r="A23" s="33"/>
      <c r="B23" s="39"/>
      <c r="C23" s="43">
        <f t="shared" si="3"/>
        <v>0</v>
      </c>
      <c r="D23" s="33"/>
      <c r="E23" s="34"/>
      <c r="F23" s="34"/>
      <c r="G23" s="35">
        <f t="shared" si="0"/>
        <v>0</v>
      </c>
      <c r="H23" s="33"/>
      <c r="I23" s="34"/>
      <c r="J23" s="34"/>
      <c r="K23" s="35">
        <f t="shared" si="1"/>
        <v>0</v>
      </c>
      <c r="L23" s="33"/>
      <c r="M23" s="34"/>
      <c r="N23" s="34"/>
      <c r="O23" s="35">
        <f t="shared" si="2"/>
        <v>0</v>
      </c>
    </row>
  </sheetData>
  <mergeCells count="3">
    <mergeCell ref="D2:G2"/>
    <mergeCell ref="H2:K2"/>
    <mergeCell ref="L2:O2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7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7.5703125" style="3" bestFit="1" customWidth="1"/>
    <col min="8" max="9" width="4.7109375" style="3" customWidth="1"/>
    <col min="10" max="10" width="7" style="3" bestFit="1" customWidth="1"/>
    <col min="11" max="11" width="7.5703125" style="3" bestFit="1" customWidth="1"/>
    <col min="12" max="13" width="4.7109375" style="3" customWidth="1"/>
    <col min="14" max="14" width="7" style="3" bestFit="1" customWidth="1"/>
    <col min="15" max="15" width="7.5703125" style="3" bestFit="1" customWidth="1"/>
    <col min="16" max="16" width="9" style="3"/>
    <col min="17" max="17" width="7.5703125" style="3" bestFit="1" customWidth="1"/>
    <col min="18" max="18" width="7.42578125" style="3" bestFit="1" customWidth="1"/>
    <col min="19" max="19" width="11.7109375" style="3" bestFit="1" customWidth="1"/>
    <col min="20" max="16384" width="9" style="3"/>
  </cols>
  <sheetData>
    <row r="1" spans="1:19" ht="15.75" thickBot="1" x14ac:dyDescent="0.3">
      <c r="A1" s="3" t="s">
        <v>18</v>
      </c>
      <c r="Q1" s="4">
        <v>1</v>
      </c>
      <c r="S1" s="3" t="s">
        <v>32</v>
      </c>
    </row>
    <row r="2" spans="1:19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  <c r="S2" s="3" t="s">
        <v>29</v>
      </c>
    </row>
    <row r="3" spans="1:19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Q3" s="7" t="s">
        <v>33</v>
      </c>
      <c r="R3" s="8" t="s">
        <v>32</v>
      </c>
      <c r="S3" s="9" t="s">
        <v>29</v>
      </c>
    </row>
    <row r="4" spans="1:19" x14ac:dyDescent="0.25">
      <c r="A4" s="36"/>
      <c r="B4" s="37"/>
      <c r="C4" s="41">
        <f>G4+K4+O4</f>
        <v>0</v>
      </c>
      <c r="D4" s="28"/>
      <c r="E4" s="26"/>
      <c r="F4" s="25"/>
      <c r="G4" s="29">
        <f>360-ABS(360-(D4*60+E4))+MIN(50,IF($Q$1=2,VLOOKUP(F4,$S$4:$S$27,1,FALSE),VLOOKUP(F4,$R$4:$S$27,2,FALSE)))</f>
        <v>0</v>
      </c>
      <c r="H4" s="28"/>
      <c r="I4" s="26"/>
      <c r="J4" s="25"/>
      <c r="K4" s="29">
        <f>360-ABS(360-(H4*60+I4))+MIN(50,IF($Q$1=2,VLOOKUP(J4,$S$4:$S$27,1,FALSE),VLOOKUP(J4,$R$4:$S$27,2,FALSE)))</f>
        <v>0</v>
      </c>
      <c r="L4" s="28"/>
      <c r="M4" s="26"/>
      <c r="N4" s="26"/>
      <c r="O4" s="29">
        <f>360-ABS(360-(L4*60+M4))+MIN(50,IF($Q$1=2,VLOOKUP(N4,$S$4:$S$27,1,FALSE),VLOOKUP(N4,$R$4:$S$27,2,FALSE)))</f>
        <v>0</v>
      </c>
      <c r="Q4" s="10" t="s">
        <v>30</v>
      </c>
      <c r="R4" s="17">
        <v>100</v>
      </c>
      <c r="S4" s="18">
        <v>50</v>
      </c>
    </row>
    <row r="5" spans="1:19" x14ac:dyDescent="0.25">
      <c r="A5" s="32"/>
      <c r="B5" s="38"/>
      <c r="C5" s="42">
        <f>G5+K5+O5</f>
        <v>0</v>
      </c>
      <c r="D5" s="30"/>
      <c r="E5" s="23"/>
      <c r="F5" s="24"/>
      <c r="G5" s="29">
        <f t="shared" ref="G5:G23" si="0">360-ABS(360-(D5*60+E5))+MIN(50,IF($Q$1=2,VLOOKUP(F5,$S$4:$S$27,1,FALSE),VLOOKUP(F5,$R$4:$S$27,2,FALSE)))</f>
        <v>0</v>
      </c>
      <c r="H5" s="30"/>
      <c r="I5" s="23"/>
      <c r="J5" s="24"/>
      <c r="K5" s="29">
        <f t="shared" ref="K5:K23" si="1">360-ABS(360-(H5*60+I5))+MIN(50,IF($Q$1=2,VLOOKUP(J5,$S$4:$S$27,1,FALSE),VLOOKUP(J5,$R$4:$S$27,2,FALSE)))</f>
        <v>0</v>
      </c>
      <c r="L5" s="30"/>
      <c r="M5" s="23"/>
      <c r="N5" s="23"/>
      <c r="O5" s="29">
        <f t="shared" ref="O5:O23" si="2">360-ABS(360-(L5*60+M5))+MIN(50,IF($Q$1=2,VLOOKUP(N5,$S$4:$S$27,1,FALSE),VLOOKUP(N5,$R$4:$S$27,2,FALSE)))</f>
        <v>0</v>
      </c>
      <c r="Q5" s="12"/>
      <c r="R5" s="19">
        <v>99</v>
      </c>
      <c r="S5" s="20">
        <v>50</v>
      </c>
    </row>
    <row r="6" spans="1:19" x14ac:dyDescent="0.25">
      <c r="A6" s="32"/>
      <c r="B6" s="38"/>
      <c r="C6" s="42">
        <f>G6+K6+O6</f>
        <v>0</v>
      </c>
      <c r="D6" s="30"/>
      <c r="E6" s="23"/>
      <c r="F6" s="24"/>
      <c r="G6" s="29">
        <f t="shared" si="0"/>
        <v>0</v>
      </c>
      <c r="H6" s="30"/>
      <c r="I6" s="23"/>
      <c r="J6" s="24"/>
      <c r="K6" s="29">
        <f t="shared" si="1"/>
        <v>0</v>
      </c>
      <c r="L6" s="30"/>
      <c r="M6" s="23"/>
      <c r="N6" s="23"/>
      <c r="O6" s="29">
        <f t="shared" si="2"/>
        <v>0</v>
      </c>
      <c r="Q6" s="12"/>
      <c r="R6" s="19">
        <v>98</v>
      </c>
      <c r="S6" s="20">
        <v>50</v>
      </c>
    </row>
    <row r="7" spans="1:19" x14ac:dyDescent="0.25">
      <c r="A7" s="32"/>
      <c r="B7" s="38"/>
      <c r="C7" s="42">
        <f t="shared" ref="C7:C23" si="3">G7+K7+O7</f>
        <v>0</v>
      </c>
      <c r="D7" s="32"/>
      <c r="E7" s="24"/>
      <c r="F7" s="24"/>
      <c r="G7" s="29">
        <f t="shared" si="0"/>
        <v>0</v>
      </c>
      <c r="H7" s="32"/>
      <c r="I7" s="24"/>
      <c r="J7" s="24"/>
      <c r="K7" s="29">
        <f t="shared" si="1"/>
        <v>0</v>
      </c>
      <c r="L7" s="32"/>
      <c r="M7" s="24"/>
      <c r="N7" s="24"/>
      <c r="O7" s="29">
        <f t="shared" si="2"/>
        <v>0</v>
      </c>
      <c r="Q7" s="12"/>
      <c r="R7" s="19">
        <v>97</v>
      </c>
      <c r="S7" s="20">
        <v>50</v>
      </c>
    </row>
    <row r="8" spans="1:19" x14ac:dyDescent="0.25">
      <c r="A8" s="32"/>
      <c r="B8" s="38"/>
      <c r="C8" s="42">
        <f t="shared" si="3"/>
        <v>0</v>
      </c>
      <c r="D8" s="32"/>
      <c r="E8" s="24"/>
      <c r="F8" s="24"/>
      <c r="G8" s="29">
        <f t="shared" si="0"/>
        <v>0</v>
      </c>
      <c r="H8" s="32"/>
      <c r="I8" s="24"/>
      <c r="J8" s="24"/>
      <c r="K8" s="29">
        <f t="shared" si="1"/>
        <v>0</v>
      </c>
      <c r="L8" s="32"/>
      <c r="M8" s="24"/>
      <c r="N8" s="24"/>
      <c r="O8" s="29">
        <f t="shared" si="2"/>
        <v>0</v>
      </c>
      <c r="Q8" s="12"/>
      <c r="R8" s="19">
        <v>96</v>
      </c>
      <c r="S8" s="20">
        <v>50</v>
      </c>
    </row>
    <row r="9" spans="1:19" x14ac:dyDescent="0.25">
      <c r="A9" s="32"/>
      <c r="B9" s="38"/>
      <c r="C9" s="42">
        <f t="shared" si="3"/>
        <v>0</v>
      </c>
      <c r="D9" s="32"/>
      <c r="E9" s="24"/>
      <c r="F9" s="24"/>
      <c r="G9" s="29">
        <f t="shared" si="0"/>
        <v>0</v>
      </c>
      <c r="H9" s="32"/>
      <c r="I9" s="24"/>
      <c r="J9" s="24"/>
      <c r="K9" s="29">
        <f t="shared" si="1"/>
        <v>0</v>
      </c>
      <c r="L9" s="32"/>
      <c r="M9" s="24"/>
      <c r="N9" s="24"/>
      <c r="O9" s="29">
        <f t="shared" si="2"/>
        <v>0</v>
      </c>
      <c r="Q9" s="12" t="s">
        <v>31</v>
      </c>
      <c r="R9" s="19">
        <v>95</v>
      </c>
      <c r="S9" s="20">
        <v>45</v>
      </c>
    </row>
    <row r="10" spans="1:19" x14ac:dyDescent="0.25">
      <c r="A10" s="32"/>
      <c r="B10" s="38"/>
      <c r="C10" s="42">
        <f t="shared" si="3"/>
        <v>0</v>
      </c>
      <c r="D10" s="32"/>
      <c r="E10" s="24"/>
      <c r="F10" s="24"/>
      <c r="G10" s="29">
        <f t="shared" si="0"/>
        <v>0</v>
      </c>
      <c r="H10" s="32"/>
      <c r="I10" s="24"/>
      <c r="J10" s="24"/>
      <c r="K10" s="29">
        <f t="shared" si="1"/>
        <v>0</v>
      </c>
      <c r="L10" s="32"/>
      <c r="M10" s="24"/>
      <c r="N10" s="24"/>
      <c r="O10" s="29">
        <f t="shared" si="2"/>
        <v>0</v>
      </c>
      <c r="Q10" s="12"/>
      <c r="R10" s="19">
        <v>94</v>
      </c>
      <c r="S10" s="20">
        <v>45</v>
      </c>
    </row>
    <row r="11" spans="1:19" x14ac:dyDescent="0.25">
      <c r="A11" s="32"/>
      <c r="B11" s="38"/>
      <c r="C11" s="42">
        <f t="shared" si="3"/>
        <v>0</v>
      </c>
      <c r="D11" s="32"/>
      <c r="E11" s="24"/>
      <c r="F11" s="24"/>
      <c r="G11" s="29">
        <f t="shared" si="0"/>
        <v>0</v>
      </c>
      <c r="H11" s="32"/>
      <c r="I11" s="24"/>
      <c r="J11" s="24"/>
      <c r="K11" s="29">
        <f t="shared" si="1"/>
        <v>0</v>
      </c>
      <c r="L11" s="32"/>
      <c r="M11" s="24"/>
      <c r="N11" s="24"/>
      <c r="O11" s="29">
        <f t="shared" si="2"/>
        <v>0</v>
      </c>
      <c r="Q11" s="12"/>
      <c r="R11" s="19">
        <v>93</v>
      </c>
      <c r="S11" s="20">
        <v>45</v>
      </c>
    </row>
    <row r="12" spans="1:19" x14ac:dyDescent="0.25">
      <c r="A12" s="32"/>
      <c r="B12" s="38"/>
      <c r="C12" s="42">
        <f t="shared" si="3"/>
        <v>0</v>
      </c>
      <c r="D12" s="32"/>
      <c r="E12" s="24"/>
      <c r="F12" s="24"/>
      <c r="G12" s="29">
        <f t="shared" si="0"/>
        <v>0</v>
      </c>
      <c r="H12" s="32"/>
      <c r="I12" s="24"/>
      <c r="J12" s="24"/>
      <c r="K12" s="29">
        <f t="shared" si="1"/>
        <v>0</v>
      </c>
      <c r="L12" s="32"/>
      <c r="M12" s="24"/>
      <c r="N12" s="24"/>
      <c r="O12" s="29">
        <f t="shared" si="2"/>
        <v>0</v>
      </c>
      <c r="Q12" s="12"/>
      <c r="R12" s="19">
        <v>92</v>
      </c>
      <c r="S12" s="20">
        <v>45</v>
      </c>
    </row>
    <row r="13" spans="1:19" x14ac:dyDescent="0.25">
      <c r="A13" s="32"/>
      <c r="B13" s="38"/>
      <c r="C13" s="42">
        <f t="shared" si="3"/>
        <v>0</v>
      </c>
      <c r="D13" s="32"/>
      <c r="E13" s="24"/>
      <c r="F13" s="24"/>
      <c r="G13" s="29">
        <f t="shared" si="0"/>
        <v>0</v>
      </c>
      <c r="H13" s="32"/>
      <c r="I13" s="24"/>
      <c r="J13" s="24"/>
      <c r="K13" s="29">
        <f t="shared" si="1"/>
        <v>0</v>
      </c>
      <c r="L13" s="32"/>
      <c r="M13" s="24"/>
      <c r="N13" s="24"/>
      <c r="O13" s="29">
        <f t="shared" si="2"/>
        <v>0</v>
      </c>
      <c r="Q13" s="12"/>
      <c r="R13" s="19">
        <v>91</v>
      </c>
      <c r="S13" s="20">
        <v>45</v>
      </c>
    </row>
    <row r="14" spans="1:19" x14ac:dyDescent="0.25">
      <c r="A14" s="32"/>
      <c r="B14" s="38"/>
      <c r="C14" s="42">
        <f t="shared" si="3"/>
        <v>0</v>
      </c>
      <c r="D14" s="32"/>
      <c r="E14" s="24"/>
      <c r="F14" s="24"/>
      <c r="G14" s="29">
        <f t="shared" si="0"/>
        <v>0</v>
      </c>
      <c r="H14" s="32"/>
      <c r="I14" s="24"/>
      <c r="J14" s="24"/>
      <c r="K14" s="29">
        <f t="shared" si="1"/>
        <v>0</v>
      </c>
      <c r="L14" s="32"/>
      <c r="M14" s="24"/>
      <c r="N14" s="24"/>
      <c r="O14" s="29">
        <f t="shared" si="2"/>
        <v>0</v>
      </c>
      <c r="Q14" s="12" t="s">
        <v>34</v>
      </c>
      <c r="R14" s="19">
        <v>90</v>
      </c>
      <c r="S14" s="20">
        <v>40</v>
      </c>
    </row>
    <row r="15" spans="1:19" x14ac:dyDescent="0.25">
      <c r="A15" s="32"/>
      <c r="B15" s="38"/>
      <c r="C15" s="42">
        <f t="shared" si="3"/>
        <v>0</v>
      </c>
      <c r="D15" s="32"/>
      <c r="E15" s="24"/>
      <c r="F15" s="24"/>
      <c r="G15" s="29">
        <f t="shared" si="0"/>
        <v>0</v>
      </c>
      <c r="H15" s="32"/>
      <c r="I15" s="24"/>
      <c r="J15" s="24"/>
      <c r="K15" s="29">
        <f t="shared" si="1"/>
        <v>0</v>
      </c>
      <c r="L15" s="32"/>
      <c r="M15" s="24"/>
      <c r="N15" s="24"/>
      <c r="O15" s="29">
        <f t="shared" si="2"/>
        <v>0</v>
      </c>
      <c r="Q15" s="12" t="s">
        <v>35</v>
      </c>
      <c r="R15" s="19">
        <v>85</v>
      </c>
      <c r="S15" s="20">
        <v>35</v>
      </c>
    </row>
    <row r="16" spans="1:19" x14ac:dyDescent="0.25">
      <c r="A16" s="32"/>
      <c r="B16" s="38"/>
      <c r="C16" s="42">
        <f t="shared" si="3"/>
        <v>0</v>
      </c>
      <c r="D16" s="32"/>
      <c r="E16" s="24"/>
      <c r="F16" s="24"/>
      <c r="G16" s="29">
        <f t="shared" si="0"/>
        <v>0</v>
      </c>
      <c r="H16" s="32"/>
      <c r="I16" s="24"/>
      <c r="J16" s="24"/>
      <c r="K16" s="29">
        <f t="shared" si="1"/>
        <v>0</v>
      </c>
      <c r="L16" s="32"/>
      <c r="M16" s="24"/>
      <c r="N16" s="24"/>
      <c r="O16" s="29">
        <f t="shared" si="2"/>
        <v>0</v>
      </c>
      <c r="Q16" s="12" t="s">
        <v>36</v>
      </c>
      <c r="R16" s="19">
        <v>80</v>
      </c>
      <c r="S16" s="20">
        <v>30</v>
      </c>
    </row>
    <row r="17" spans="1:19" x14ac:dyDescent="0.25">
      <c r="A17" s="32"/>
      <c r="B17" s="38"/>
      <c r="C17" s="42">
        <f t="shared" si="3"/>
        <v>0</v>
      </c>
      <c r="D17" s="32"/>
      <c r="E17" s="24"/>
      <c r="F17" s="24"/>
      <c r="G17" s="29">
        <f t="shared" si="0"/>
        <v>0</v>
      </c>
      <c r="H17" s="32"/>
      <c r="I17" s="24"/>
      <c r="J17" s="24"/>
      <c r="K17" s="29">
        <f t="shared" si="1"/>
        <v>0</v>
      </c>
      <c r="L17" s="32"/>
      <c r="M17" s="24"/>
      <c r="N17" s="24"/>
      <c r="O17" s="29">
        <f t="shared" si="2"/>
        <v>0</v>
      </c>
      <c r="Q17" s="12" t="s">
        <v>37</v>
      </c>
      <c r="R17" s="19">
        <v>75</v>
      </c>
      <c r="S17" s="20">
        <v>25</v>
      </c>
    </row>
    <row r="18" spans="1:19" x14ac:dyDescent="0.25">
      <c r="A18" s="32"/>
      <c r="B18" s="38"/>
      <c r="C18" s="42">
        <f t="shared" si="3"/>
        <v>0</v>
      </c>
      <c r="D18" s="32"/>
      <c r="E18" s="24"/>
      <c r="F18" s="24"/>
      <c r="G18" s="29">
        <f t="shared" si="0"/>
        <v>0</v>
      </c>
      <c r="H18" s="32"/>
      <c r="I18" s="24"/>
      <c r="J18" s="24"/>
      <c r="K18" s="29">
        <f t="shared" si="1"/>
        <v>0</v>
      </c>
      <c r="L18" s="32"/>
      <c r="M18" s="24"/>
      <c r="N18" s="24"/>
      <c r="O18" s="29">
        <f t="shared" si="2"/>
        <v>0</v>
      </c>
      <c r="Q18" s="12" t="s">
        <v>38</v>
      </c>
      <c r="R18" s="19">
        <v>70</v>
      </c>
      <c r="S18" s="20">
        <v>20</v>
      </c>
    </row>
    <row r="19" spans="1:19" x14ac:dyDescent="0.25">
      <c r="A19" s="32"/>
      <c r="B19" s="38"/>
      <c r="C19" s="42">
        <f t="shared" si="3"/>
        <v>0</v>
      </c>
      <c r="D19" s="32"/>
      <c r="E19" s="24"/>
      <c r="F19" s="24"/>
      <c r="G19" s="29">
        <f t="shared" si="0"/>
        <v>0</v>
      </c>
      <c r="H19" s="32"/>
      <c r="I19" s="24"/>
      <c r="J19" s="24"/>
      <c r="K19" s="29">
        <f t="shared" si="1"/>
        <v>0</v>
      </c>
      <c r="L19" s="32"/>
      <c r="M19" s="24"/>
      <c r="N19" s="24"/>
      <c r="O19" s="29">
        <f t="shared" si="2"/>
        <v>0</v>
      </c>
      <c r="Q19" s="12" t="s">
        <v>39</v>
      </c>
      <c r="R19" s="19">
        <v>65</v>
      </c>
      <c r="S19" s="20">
        <v>15</v>
      </c>
    </row>
    <row r="20" spans="1:19" x14ac:dyDescent="0.25">
      <c r="A20" s="32"/>
      <c r="B20" s="38"/>
      <c r="C20" s="42">
        <f t="shared" si="3"/>
        <v>0</v>
      </c>
      <c r="D20" s="32"/>
      <c r="E20" s="24"/>
      <c r="F20" s="24"/>
      <c r="G20" s="29">
        <f t="shared" si="0"/>
        <v>0</v>
      </c>
      <c r="H20" s="32"/>
      <c r="I20" s="24"/>
      <c r="J20" s="24"/>
      <c r="K20" s="29">
        <f t="shared" si="1"/>
        <v>0</v>
      </c>
      <c r="L20" s="32"/>
      <c r="M20" s="24"/>
      <c r="N20" s="24"/>
      <c r="O20" s="29">
        <f t="shared" si="2"/>
        <v>0</v>
      </c>
      <c r="Q20" s="12" t="s">
        <v>40</v>
      </c>
      <c r="R20" s="19">
        <v>60</v>
      </c>
      <c r="S20" s="20">
        <v>10</v>
      </c>
    </row>
    <row r="21" spans="1:19" x14ac:dyDescent="0.25">
      <c r="A21" s="32"/>
      <c r="B21" s="38"/>
      <c r="C21" s="42">
        <f t="shared" si="3"/>
        <v>0</v>
      </c>
      <c r="D21" s="32"/>
      <c r="E21" s="24"/>
      <c r="F21" s="24"/>
      <c r="G21" s="29">
        <f t="shared" si="0"/>
        <v>0</v>
      </c>
      <c r="H21" s="32"/>
      <c r="I21" s="24"/>
      <c r="J21" s="24"/>
      <c r="K21" s="29">
        <f t="shared" si="1"/>
        <v>0</v>
      </c>
      <c r="L21" s="32"/>
      <c r="M21" s="24"/>
      <c r="N21" s="24"/>
      <c r="O21" s="29">
        <f t="shared" si="2"/>
        <v>0</v>
      </c>
      <c r="Q21" s="12" t="s">
        <v>41</v>
      </c>
      <c r="R21" s="19">
        <v>55</v>
      </c>
      <c r="S21" s="20">
        <v>5</v>
      </c>
    </row>
    <row r="22" spans="1:19" ht="15.75" thickBot="1" x14ac:dyDescent="0.3">
      <c r="A22" s="32"/>
      <c r="B22" s="38"/>
      <c r="C22" s="42">
        <f t="shared" si="3"/>
        <v>0</v>
      </c>
      <c r="D22" s="32"/>
      <c r="E22" s="24"/>
      <c r="F22" s="24"/>
      <c r="G22" s="29">
        <f t="shared" si="0"/>
        <v>0</v>
      </c>
      <c r="H22" s="32"/>
      <c r="I22" s="24"/>
      <c r="J22" s="24"/>
      <c r="K22" s="29">
        <f t="shared" si="1"/>
        <v>0</v>
      </c>
      <c r="L22" s="32"/>
      <c r="M22" s="24"/>
      <c r="N22" s="24"/>
      <c r="O22" s="29">
        <f t="shared" si="2"/>
        <v>0</v>
      </c>
      <c r="Q22" s="14" t="s">
        <v>42</v>
      </c>
      <c r="R22" s="60">
        <v>50</v>
      </c>
      <c r="S22" s="61">
        <v>0</v>
      </c>
    </row>
    <row r="23" spans="1:19" ht="15.75" thickBot="1" x14ac:dyDescent="0.3">
      <c r="A23" s="33"/>
      <c r="B23" s="39"/>
      <c r="C23" s="43">
        <f t="shared" si="3"/>
        <v>0</v>
      </c>
      <c r="D23" s="33"/>
      <c r="E23" s="34"/>
      <c r="F23" s="34"/>
      <c r="G23" s="29">
        <f t="shared" si="0"/>
        <v>0</v>
      </c>
      <c r="H23" s="33"/>
      <c r="I23" s="34"/>
      <c r="J23" s="34"/>
      <c r="K23" s="29">
        <f t="shared" si="1"/>
        <v>0</v>
      </c>
      <c r="L23" s="33"/>
      <c r="M23" s="34"/>
      <c r="N23" s="34"/>
      <c r="O23" s="29">
        <f t="shared" si="2"/>
        <v>0</v>
      </c>
      <c r="R23" s="62">
        <v>45</v>
      </c>
      <c r="S23" s="63">
        <v>0</v>
      </c>
    </row>
    <row r="24" spans="1:19" x14ac:dyDescent="0.25">
      <c r="R24" s="64">
        <v>40</v>
      </c>
      <c r="S24" s="65">
        <v>0</v>
      </c>
    </row>
    <row r="25" spans="1:19" x14ac:dyDescent="0.25">
      <c r="R25" s="64">
        <v>35</v>
      </c>
      <c r="S25" s="65">
        <v>0</v>
      </c>
    </row>
    <row r="26" spans="1:19" x14ac:dyDescent="0.25">
      <c r="R26" s="64">
        <v>30</v>
      </c>
      <c r="S26" s="65">
        <v>0</v>
      </c>
    </row>
    <row r="27" spans="1:19" ht="15.75" thickBot="1" x14ac:dyDescent="0.3">
      <c r="R27" s="66">
        <v>0</v>
      </c>
      <c r="S27" s="67">
        <v>0</v>
      </c>
    </row>
  </sheetData>
  <sheetProtection algorithmName="SHA-512" hashValue="m+I2AbISUFKU7Yx/vDUCl6zyGKj/j8wkP/F/RB6ONXPRSuL9ZYWNELUfrEj7ANvgRUGqmvyvDRthWuHZPliRTA==" saltValue="U5ZslFKUd4NsSWQGU1vBIg==" spinCount="100000" sheet="1" objects="1" scenarios="1"/>
  <mergeCells count="3">
    <mergeCell ref="D2:G2"/>
    <mergeCell ref="H2:K2"/>
    <mergeCell ref="L2:O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9" style="3"/>
    <col min="8" max="9" width="4.7109375" style="3" customWidth="1"/>
    <col min="10" max="10" width="7" style="3" bestFit="1" customWidth="1"/>
    <col min="11" max="11" width="9" style="3"/>
    <col min="12" max="13" width="4.7109375" style="3" customWidth="1"/>
    <col min="14" max="14" width="7" style="3" bestFit="1" customWidth="1"/>
    <col min="15" max="15" width="9" style="3"/>
    <col min="16" max="17" width="4.7109375" style="3" customWidth="1"/>
    <col min="18" max="18" width="7" style="3" bestFit="1" customWidth="1"/>
    <col min="19" max="20" width="9" style="3"/>
    <col min="21" max="21" width="7.5703125" style="3" bestFit="1" customWidth="1"/>
    <col min="22" max="22" width="7.42578125" style="3" bestFit="1" customWidth="1"/>
    <col min="23" max="23" width="11.7109375" style="3" bestFit="1" customWidth="1"/>
    <col min="24" max="16384" width="9" style="3"/>
  </cols>
  <sheetData>
    <row r="1" spans="1:23" ht="15.75" thickBot="1" x14ac:dyDescent="0.3">
      <c r="A1" s="3" t="s">
        <v>19</v>
      </c>
    </row>
    <row r="2" spans="1:23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  <c r="P2" s="71" t="s">
        <v>43</v>
      </c>
      <c r="Q2" s="72"/>
      <c r="R2" s="72"/>
      <c r="S2" s="73"/>
    </row>
    <row r="3" spans="1:23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P3" s="7" t="s">
        <v>2</v>
      </c>
      <c r="Q3" s="8" t="s">
        <v>10</v>
      </c>
      <c r="R3" s="8" t="s">
        <v>3</v>
      </c>
      <c r="S3" s="9" t="s">
        <v>20</v>
      </c>
      <c r="U3" s="7" t="s">
        <v>33</v>
      </c>
      <c r="V3" s="8" t="s">
        <v>32</v>
      </c>
      <c r="W3" s="9" t="s">
        <v>29</v>
      </c>
    </row>
    <row r="4" spans="1:23" x14ac:dyDescent="0.25">
      <c r="A4" s="36"/>
      <c r="B4" s="37"/>
      <c r="C4" s="41">
        <f>G4+K4+O4+S4</f>
        <v>0</v>
      </c>
      <c r="D4" s="28"/>
      <c r="E4" s="26"/>
      <c r="F4" s="25"/>
      <c r="G4" s="29">
        <f>600-ABS(600-(D4*60+E4))+F4</f>
        <v>0</v>
      </c>
      <c r="H4" s="28"/>
      <c r="I4" s="26"/>
      <c r="J4" s="25"/>
      <c r="K4" s="29">
        <f>600-ABS(600-(H4*60+I4))+J4</f>
        <v>0</v>
      </c>
      <c r="L4" s="28"/>
      <c r="M4" s="26"/>
      <c r="N4" s="26"/>
      <c r="O4" s="29">
        <f t="shared" ref="O4:O23" si="0">600-ABS(600-(L4*60+M4))+N4</f>
        <v>0</v>
      </c>
      <c r="P4" s="28"/>
      <c r="Q4" s="26"/>
      <c r="R4" s="26"/>
      <c r="S4" s="29">
        <f t="shared" ref="S4:S23" si="1">600-ABS(600-(P4*60+Q4))+R4</f>
        <v>0</v>
      </c>
      <c r="U4" s="10" t="s">
        <v>30</v>
      </c>
      <c r="V4" s="6">
        <v>100</v>
      </c>
      <c r="W4" s="11">
        <v>50</v>
      </c>
    </row>
    <row r="5" spans="1:23" x14ac:dyDescent="0.25">
      <c r="A5" s="32"/>
      <c r="B5" s="38"/>
      <c r="C5" s="42">
        <f t="shared" ref="C5:C23" si="2">G5+K5+O5+S5</f>
        <v>0</v>
      </c>
      <c r="D5" s="30"/>
      <c r="E5" s="23"/>
      <c r="F5" s="24"/>
      <c r="G5" s="31">
        <f>600-ABS(600-(D5*60+E5))+F5</f>
        <v>0</v>
      </c>
      <c r="H5" s="30"/>
      <c r="I5" s="23"/>
      <c r="J5" s="24"/>
      <c r="K5" s="31">
        <f>600-ABS(600-(H5*60+I5))+J5</f>
        <v>0</v>
      </c>
      <c r="L5" s="30"/>
      <c r="M5" s="23"/>
      <c r="N5" s="23"/>
      <c r="O5" s="31">
        <f t="shared" si="0"/>
        <v>0</v>
      </c>
      <c r="P5" s="30"/>
      <c r="Q5" s="23"/>
      <c r="R5" s="23"/>
      <c r="S5" s="31">
        <f t="shared" si="1"/>
        <v>0</v>
      </c>
      <c r="U5" s="12"/>
      <c r="V5" s="5">
        <v>99</v>
      </c>
      <c r="W5" s="13">
        <v>50</v>
      </c>
    </row>
    <row r="6" spans="1:23" x14ac:dyDescent="0.25">
      <c r="A6" s="32"/>
      <c r="B6" s="38"/>
      <c r="C6" s="42">
        <f t="shared" si="2"/>
        <v>0</v>
      </c>
      <c r="D6" s="30"/>
      <c r="E6" s="23"/>
      <c r="F6" s="24"/>
      <c r="G6" s="31">
        <f>600-ABS(600-(D6*60+E6))+F6</f>
        <v>0</v>
      </c>
      <c r="H6" s="30"/>
      <c r="I6" s="23"/>
      <c r="J6" s="24"/>
      <c r="K6" s="31">
        <f>600-ABS(600-(H6*60+I6))+J6</f>
        <v>0</v>
      </c>
      <c r="L6" s="30"/>
      <c r="M6" s="23"/>
      <c r="N6" s="23"/>
      <c r="O6" s="31">
        <f t="shared" si="0"/>
        <v>0</v>
      </c>
      <c r="P6" s="30"/>
      <c r="Q6" s="23"/>
      <c r="R6" s="23"/>
      <c r="S6" s="31">
        <f t="shared" si="1"/>
        <v>0</v>
      </c>
      <c r="U6" s="12"/>
      <c r="V6" s="5">
        <v>98</v>
      </c>
      <c r="W6" s="13">
        <v>50</v>
      </c>
    </row>
    <row r="7" spans="1:23" x14ac:dyDescent="0.25">
      <c r="A7" s="32"/>
      <c r="B7" s="38"/>
      <c r="C7" s="42">
        <f t="shared" si="2"/>
        <v>0</v>
      </c>
      <c r="D7" s="32"/>
      <c r="E7" s="24"/>
      <c r="F7" s="24"/>
      <c r="G7" s="31">
        <f>600-ABS(600-(D7*60+E7))+F7</f>
        <v>0</v>
      </c>
      <c r="H7" s="32"/>
      <c r="I7" s="24"/>
      <c r="J7" s="24"/>
      <c r="K7" s="31">
        <f>600-ABS(600-(H7*60+I7))+J7</f>
        <v>0</v>
      </c>
      <c r="L7" s="32"/>
      <c r="M7" s="24"/>
      <c r="N7" s="24"/>
      <c r="O7" s="31">
        <f t="shared" si="0"/>
        <v>0</v>
      </c>
      <c r="P7" s="32"/>
      <c r="Q7" s="24"/>
      <c r="R7" s="24"/>
      <c r="S7" s="31">
        <f t="shared" si="1"/>
        <v>0</v>
      </c>
      <c r="U7" s="12"/>
      <c r="V7" s="5">
        <v>97</v>
      </c>
      <c r="W7" s="13">
        <v>50</v>
      </c>
    </row>
    <row r="8" spans="1:23" x14ac:dyDescent="0.25">
      <c r="A8" s="32"/>
      <c r="B8" s="38"/>
      <c r="C8" s="42">
        <f t="shared" si="2"/>
        <v>0</v>
      </c>
      <c r="D8" s="32"/>
      <c r="E8" s="24"/>
      <c r="F8" s="24"/>
      <c r="G8" s="31">
        <f>600-ABS(600-(D8*60+E8))+F8</f>
        <v>0</v>
      </c>
      <c r="H8" s="32"/>
      <c r="I8" s="24"/>
      <c r="J8" s="24"/>
      <c r="K8" s="31">
        <f t="shared" ref="K8:K23" si="3">600-ABS(600-(H8*60+I8))+J8</f>
        <v>0</v>
      </c>
      <c r="L8" s="32"/>
      <c r="M8" s="24"/>
      <c r="N8" s="24"/>
      <c r="O8" s="31">
        <f t="shared" si="0"/>
        <v>0</v>
      </c>
      <c r="P8" s="32"/>
      <c r="Q8" s="24"/>
      <c r="R8" s="24"/>
      <c r="S8" s="31">
        <f t="shared" si="1"/>
        <v>0</v>
      </c>
      <c r="U8" s="12"/>
      <c r="V8" s="5">
        <v>96</v>
      </c>
      <c r="W8" s="13">
        <v>50</v>
      </c>
    </row>
    <row r="9" spans="1:23" x14ac:dyDescent="0.25">
      <c r="A9" s="32"/>
      <c r="B9" s="38"/>
      <c r="C9" s="42">
        <f t="shared" si="2"/>
        <v>0</v>
      </c>
      <c r="D9" s="32"/>
      <c r="E9" s="24"/>
      <c r="F9" s="24"/>
      <c r="G9" s="31">
        <f t="shared" ref="G9:G23" si="4">600-ABS(600-(D9*60+E9))+F9</f>
        <v>0</v>
      </c>
      <c r="H9" s="32"/>
      <c r="I9" s="24"/>
      <c r="J9" s="24"/>
      <c r="K9" s="31">
        <f t="shared" si="3"/>
        <v>0</v>
      </c>
      <c r="L9" s="32"/>
      <c r="M9" s="24"/>
      <c r="N9" s="24"/>
      <c r="O9" s="31">
        <f t="shared" si="0"/>
        <v>0</v>
      </c>
      <c r="P9" s="32"/>
      <c r="Q9" s="24"/>
      <c r="R9" s="24"/>
      <c r="S9" s="31">
        <f t="shared" si="1"/>
        <v>0</v>
      </c>
      <c r="U9" s="12" t="s">
        <v>31</v>
      </c>
      <c r="V9" s="5">
        <v>95</v>
      </c>
      <c r="W9" s="13">
        <v>45</v>
      </c>
    </row>
    <row r="10" spans="1:23" x14ac:dyDescent="0.25">
      <c r="A10" s="32"/>
      <c r="B10" s="38"/>
      <c r="C10" s="42">
        <f t="shared" si="2"/>
        <v>0</v>
      </c>
      <c r="D10" s="32"/>
      <c r="E10" s="24"/>
      <c r="F10" s="24"/>
      <c r="G10" s="31">
        <f t="shared" si="4"/>
        <v>0</v>
      </c>
      <c r="H10" s="32"/>
      <c r="I10" s="24"/>
      <c r="J10" s="24"/>
      <c r="K10" s="31">
        <f t="shared" si="3"/>
        <v>0</v>
      </c>
      <c r="L10" s="32"/>
      <c r="M10" s="24"/>
      <c r="N10" s="24"/>
      <c r="O10" s="31">
        <f t="shared" si="0"/>
        <v>0</v>
      </c>
      <c r="P10" s="32"/>
      <c r="Q10" s="24"/>
      <c r="R10" s="24"/>
      <c r="S10" s="31">
        <f t="shared" si="1"/>
        <v>0</v>
      </c>
      <c r="U10" s="12"/>
      <c r="V10" s="5">
        <v>94</v>
      </c>
      <c r="W10" s="13">
        <v>45</v>
      </c>
    </row>
    <row r="11" spans="1:23" x14ac:dyDescent="0.25">
      <c r="A11" s="32"/>
      <c r="B11" s="38"/>
      <c r="C11" s="42">
        <f t="shared" si="2"/>
        <v>0</v>
      </c>
      <c r="D11" s="32"/>
      <c r="E11" s="24"/>
      <c r="F11" s="24"/>
      <c r="G11" s="31">
        <f t="shared" si="4"/>
        <v>0</v>
      </c>
      <c r="H11" s="32"/>
      <c r="I11" s="24"/>
      <c r="J11" s="24"/>
      <c r="K11" s="31">
        <f t="shared" si="3"/>
        <v>0</v>
      </c>
      <c r="L11" s="32"/>
      <c r="M11" s="24"/>
      <c r="N11" s="24"/>
      <c r="O11" s="31">
        <f t="shared" si="0"/>
        <v>0</v>
      </c>
      <c r="P11" s="32"/>
      <c r="Q11" s="24"/>
      <c r="R11" s="24"/>
      <c r="S11" s="31">
        <f t="shared" si="1"/>
        <v>0</v>
      </c>
      <c r="U11" s="12"/>
      <c r="V11" s="5">
        <v>93</v>
      </c>
      <c r="W11" s="13">
        <v>45</v>
      </c>
    </row>
    <row r="12" spans="1:23" x14ac:dyDescent="0.25">
      <c r="A12" s="32"/>
      <c r="B12" s="38"/>
      <c r="C12" s="42">
        <f t="shared" si="2"/>
        <v>0</v>
      </c>
      <c r="D12" s="32"/>
      <c r="E12" s="24"/>
      <c r="F12" s="24"/>
      <c r="G12" s="31">
        <f t="shared" si="4"/>
        <v>0</v>
      </c>
      <c r="H12" s="32"/>
      <c r="I12" s="24"/>
      <c r="J12" s="24"/>
      <c r="K12" s="31">
        <f t="shared" si="3"/>
        <v>0</v>
      </c>
      <c r="L12" s="32"/>
      <c r="M12" s="24"/>
      <c r="N12" s="24"/>
      <c r="O12" s="31">
        <f t="shared" si="0"/>
        <v>0</v>
      </c>
      <c r="P12" s="32"/>
      <c r="Q12" s="24"/>
      <c r="R12" s="24"/>
      <c r="S12" s="31">
        <f t="shared" si="1"/>
        <v>0</v>
      </c>
      <c r="U12" s="12"/>
      <c r="V12" s="5">
        <v>92</v>
      </c>
      <c r="W12" s="13">
        <v>45</v>
      </c>
    </row>
    <row r="13" spans="1:23" x14ac:dyDescent="0.25">
      <c r="A13" s="32"/>
      <c r="B13" s="38"/>
      <c r="C13" s="42">
        <f t="shared" si="2"/>
        <v>0</v>
      </c>
      <c r="D13" s="32"/>
      <c r="E13" s="24"/>
      <c r="F13" s="24"/>
      <c r="G13" s="31">
        <f t="shared" si="4"/>
        <v>0</v>
      </c>
      <c r="H13" s="32"/>
      <c r="I13" s="24"/>
      <c r="J13" s="24"/>
      <c r="K13" s="31">
        <f t="shared" si="3"/>
        <v>0</v>
      </c>
      <c r="L13" s="32"/>
      <c r="M13" s="24"/>
      <c r="N13" s="24"/>
      <c r="O13" s="31">
        <f t="shared" si="0"/>
        <v>0</v>
      </c>
      <c r="P13" s="32"/>
      <c r="Q13" s="24"/>
      <c r="R13" s="24"/>
      <c r="S13" s="31">
        <f t="shared" si="1"/>
        <v>0</v>
      </c>
      <c r="U13" s="12"/>
      <c r="V13" s="5">
        <v>91</v>
      </c>
      <c r="W13" s="13">
        <v>45</v>
      </c>
    </row>
    <row r="14" spans="1:23" x14ac:dyDescent="0.25">
      <c r="A14" s="32"/>
      <c r="B14" s="38"/>
      <c r="C14" s="42">
        <f t="shared" si="2"/>
        <v>0</v>
      </c>
      <c r="D14" s="32"/>
      <c r="E14" s="24"/>
      <c r="F14" s="24"/>
      <c r="G14" s="31">
        <f t="shared" si="4"/>
        <v>0</v>
      </c>
      <c r="H14" s="32"/>
      <c r="I14" s="24"/>
      <c r="J14" s="24"/>
      <c r="K14" s="31">
        <f t="shared" si="3"/>
        <v>0</v>
      </c>
      <c r="L14" s="32"/>
      <c r="M14" s="24"/>
      <c r="N14" s="24"/>
      <c r="O14" s="31">
        <f t="shared" si="0"/>
        <v>0</v>
      </c>
      <c r="P14" s="32"/>
      <c r="Q14" s="24"/>
      <c r="R14" s="24"/>
      <c r="S14" s="31">
        <f t="shared" si="1"/>
        <v>0</v>
      </c>
      <c r="U14" s="12" t="s">
        <v>34</v>
      </c>
      <c r="V14" s="5">
        <v>90</v>
      </c>
      <c r="W14" s="13">
        <v>40</v>
      </c>
    </row>
    <row r="15" spans="1:23" x14ac:dyDescent="0.25">
      <c r="A15" s="32"/>
      <c r="B15" s="38"/>
      <c r="C15" s="42">
        <f t="shared" si="2"/>
        <v>0</v>
      </c>
      <c r="D15" s="32"/>
      <c r="E15" s="24"/>
      <c r="F15" s="24"/>
      <c r="G15" s="31">
        <f t="shared" si="4"/>
        <v>0</v>
      </c>
      <c r="H15" s="32"/>
      <c r="I15" s="24"/>
      <c r="J15" s="24"/>
      <c r="K15" s="31">
        <f t="shared" si="3"/>
        <v>0</v>
      </c>
      <c r="L15" s="32"/>
      <c r="M15" s="24"/>
      <c r="N15" s="24"/>
      <c r="O15" s="31">
        <f t="shared" si="0"/>
        <v>0</v>
      </c>
      <c r="P15" s="32"/>
      <c r="Q15" s="24"/>
      <c r="R15" s="24"/>
      <c r="S15" s="31">
        <f t="shared" si="1"/>
        <v>0</v>
      </c>
      <c r="U15" s="12" t="s">
        <v>35</v>
      </c>
      <c r="V15" s="5">
        <v>85</v>
      </c>
      <c r="W15" s="13">
        <v>35</v>
      </c>
    </row>
    <row r="16" spans="1:23" x14ac:dyDescent="0.25">
      <c r="A16" s="32"/>
      <c r="B16" s="38"/>
      <c r="C16" s="42">
        <f t="shared" si="2"/>
        <v>0</v>
      </c>
      <c r="D16" s="32"/>
      <c r="E16" s="24"/>
      <c r="F16" s="24"/>
      <c r="G16" s="31">
        <f t="shared" si="4"/>
        <v>0</v>
      </c>
      <c r="H16" s="32"/>
      <c r="I16" s="24"/>
      <c r="J16" s="24"/>
      <c r="K16" s="31">
        <f t="shared" si="3"/>
        <v>0</v>
      </c>
      <c r="L16" s="32"/>
      <c r="M16" s="24"/>
      <c r="N16" s="24"/>
      <c r="O16" s="31">
        <f t="shared" si="0"/>
        <v>0</v>
      </c>
      <c r="P16" s="32"/>
      <c r="Q16" s="24"/>
      <c r="R16" s="24"/>
      <c r="S16" s="31">
        <f t="shared" si="1"/>
        <v>0</v>
      </c>
      <c r="U16" s="12" t="s">
        <v>36</v>
      </c>
      <c r="V16" s="5">
        <v>80</v>
      </c>
      <c r="W16" s="13">
        <v>30</v>
      </c>
    </row>
    <row r="17" spans="1:23" x14ac:dyDescent="0.25">
      <c r="A17" s="32"/>
      <c r="B17" s="38"/>
      <c r="C17" s="42">
        <f t="shared" si="2"/>
        <v>0</v>
      </c>
      <c r="D17" s="32"/>
      <c r="E17" s="24"/>
      <c r="F17" s="24"/>
      <c r="G17" s="31">
        <f t="shared" si="4"/>
        <v>0</v>
      </c>
      <c r="H17" s="32"/>
      <c r="I17" s="24"/>
      <c r="J17" s="24"/>
      <c r="K17" s="31">
        <f t="shared" si="3"/>
        <v>0</v>
      </c>
      <c r="L17" s="32"/>
      <c r="M17" s="24"/>
      <c r="N17" s="24"/>
      <c r="O17" s="31">
        <f t="shared" si="0"/>
        <v>0</v>
      </c>
      <c r="P17" s="32"/>
      <c r="Q17" s="24"/>
      <c r="R17" s="24"/>
      <c r="S17" s="31">
        <f t="shared" si="1"/>
        <v>0</v>
      </c>
      <c r="U17" s="12" t="s">
        <v>37</v>
      </c>
      <c r="V17" s="5">
        <v>75</v>
      </c>
      <c r="W17" s="13">
        <v>25</v>
      </c>
    </row>
    <row r="18" spans="1:23" x14ac:dyDescent="0.25">
      <c r="A18" s="32"/>
      <c r="B18" s="38"/>
      <c r="C18" s="42">
        <f t="shared" si="2"/>
        <v>0</v>
      </c>
      <c r="D18" s="32"/>
      <c r="E18" s="24"/>
      <c r="F18" s="24"/>
      <c r="G18" s="31">
        <f t="shared" si="4"/>
        <v>0</v>
      </c>
      <c r="H18" s="32"/>
      <c r="I18" s="24"/>
      <c r="J18" s="24"/>
      <c r="K18" s="31">
        <f t="shared" si="3"/>
        <v>0</v>
      </c>
      <c r="L18" s="32"/>
      <c r="M18" s="24"/>
      <c r="N18" s="24"/>
      <c r="O18" s="31">
        <f t="shared" si="0"/>
        <v>0</v>
      </c>
      <c r="P18" s="32"/>
      <c r="Q18" s="24"/>
      <c r="R18" s="24"/>
      <c r="S18" s="31">
        <f t="shared" si="1"/>
        <v>0</v>
      </c>
      <c r="U18" s="12" t="s">
        <v>38</v>
      </c>
      <c r="V18" s="5">
        <v>70</v>
      </c>
      <c r="W18" s="13">
        <v>20</v>
      </c>
    </row>
    <row r="19" spans="1:23" x14ac:dyDescent="0.25">
      <c r="A19" s="32"/>
      <c r="B19" s="38"/>
      <c r="C19" s="42">
        <f t="shared" si="2"/>
        <v>0</v>
      </c>
      <c r="D19" s="32"/>
      <c r="E19" s="24"/>
      <c r="F19" s="24"/>
      <c r="G19" s="31">
        <f t="shared" si="4"/>
        <v>0</v>
      </c>
      <c r="H19" s="32"/>
      <c r="I19" s="24"/>
      <c r="J19" s="24"/>
      <c r="K19" s="31">
        <f t="shared" si="3"/>
        <v>0</v>
      </c>
      <c r="L19" s="32"/>
      <c r="M19" s="24"/>
      <c r="N19" s="24"/>
      <c r="O19" s="31">
        <f t="shared" si="0"/>
        <v>0</v>
      </c>
      <c r="P19" s="32"/>
      <c r="Q19" s="24"/>
      <c r="R19" s="24"/>
      <c r="S19" s="31">
        <f t="shared" si="1"/>
        <v>0</v>
      </c>
      <c r="U19" s="12" t="s">
        <v>39</v>
      </c>
      <c r="V19" s="5">
        <v>65</v>
      </c>
      <c r="W19" s="13">
        <v>15</v>
      </c>
    </row>
    <row r="20" spans="1:23" x14ac:dyDescent="0.25">
      <c r="A20" s="32"/>
      <c r="B20" s="38"/>
      <c r="C20" s="42">
        <f t="shared" si="2"/>
        <v>0</v>
      </c>
      <c r="D20" s="32"/>
      <c r="E20" s="24"/>
      <c r="F20" s="24"/>
      <c r="G20" s="31">
        <f t="shared" si="4"/>
        <v>0</v>
      </c>
      <c r="H20" s="32"/>
      <c r="I20" s="24"/>
      <c r="J20" s="24"/>
      <c r="K20" s="31">
        <f t="shared" si="3"/>
        <v>0</v>
      </c>
      <c r="L20" s="32"/>
      <c r="M20" s="24"/>
      <c r="N20" s="24"/>
      <c r="O20" s="31">
        <f t="shared" si="0"/>
        <v>0</v>
      </c>
      <c r="P20" s="32"/>
      <c r="Q20" s="24"/>
      <c r="R20" s="24"/>
      <c r="S20" s="31">
        <f t="shared" si="1"/>
        <v>0</v>
      </c>
      <c r="U20" s="12" t="s">
        <v>40</v>
      </c>
      <c r="V20" s="5">
        <v>60</v>
      </c>
      <c r="W20" s="13">
        <v>10</v>
      </c>
    </row>
    <row r="21" spans="1:23" x14ac:dyDescent="0.25">
      <c r="A21" s="32"/>
      <c r="B21" s="38"/>
      <c r="C21" s="42">
        <f t="shared" si="2"/>
        <v>0</v>
      </c>
      <c r="D21" s="32"/>
      <c r="E21" s="24"/>
      <c r="F21" s="24"/>
      <c r="G21" s="31">
        <f t="shared" si="4"/>
        <v>0</v>
      </c>
      <c r="H21" s="32"/>
      <c r="I21" s="24"/>
      <c r="J21" s="24"/>
      <c r="K21" s="31">
        <f t="shared" si="3"/>
        <v>0</v>
      </c>
      <c r="L21" s="32"/>
      <c r="M21" s="24"/>
      <c r="N21" s="24"/>
      <c r="O21" s="31">
        <f t="shared" si="0"/>
        <v>0</v>
      </c>
      <c r="P21" s="32"/>
      <c r="Q21" s="24"/>
      <c r="R21" s="24"/>
      <c r="S21" s="31">
        <f t="shared" si="1"/>
        <v>0</v>
      </c>
      <c r="U21" s="12" t="s">
        <v>41</v>
      </c>
      <c r="V21" s="5">
        <v>55</v>
      </c>
      <c r="W21" s="13">
        <v>5</v>
      </c>
    </row>
    <row r="22" spans="1:23" ht="15.75" thickBot="1" x14ac:dyDescent="0.3">
      <c r="A22" s="32"/>
      <c r="B22" s="38"/>
      <c r="C22" s="42">
        <f t="shared" si="2"/>
        <v>0</v>
      </c>
      <c r="D22" s="32"/>
      <c r="E22" s="24"/>
      <c r="F22" s="24"/>
      <c r="G22" s="31">
        <f t="shared" si="4"/>
        <v>0</v>
      </c>
      <c r="H22" s="32"/>
      <c r="I22" s="24"/>
      <c r="J22" s="24"/>
      <c r="K22" s="31">
        <f t="shared" si="3"/>
        <v>0</v>
      </c>
      <c r="L22" s="32"/>
      <c r="M22" s="24"/>
      <c r="N22" s="24"/>
      <c r="O22" s="31">
        <f t="shared" si="0"/>
        <v>0</v>
      </c>
      <c r="P22" s="32"/>
      <c r="Q22" s="24"/>
      <c r="R22" s="24"/>
      <c r="S22" s="31">
        <f t="shared" si="1"/>
        <v>0</v>
      </c>
      <c r="U22" s="14" t="s">
        <v>42</v>
      </c>
      <c r="V22" s="15">
        <v>50</v>
      </c>
      <c r="W22" s="16">
        <v>0</v>
      </c>
    </row>
    <row r="23" spans="1:23" ht="15.75" thickBot="1" x14ac:dyDescent="0.3">
      <c r="A23" s="33"/>
      <c r="B23" s="39"/>
      <c r="C23" s="43">
        <f t="shared" si="2"/>
        <v>0</v>
      </c>
      <c r="D23" s="33"/>
      <c r="E23" s="34"/>
      <c r="F23" s="34"/>
      <c r="G23" s="35">
        <f t="shared" si="4"/>
        <v>0</v>
      </c>
      <c r="H23" s="33"/>
      <c r="I23" s="34"/>
      <c r="J23" s="34"/>
      <c r="K23" s="35">
        <f t="shared" si="3"/>
        <v>0</v>
      </c>
      <c r="L23" s="33"/>
      <c r="M23" s="34"/>
      <c r="N23" s="34"/>
      <c r="O23" s="35">
        <f t="shared" si="0"/>
        <v>0</v>
      </c>
      <c r="P23" s="33"/>
      <c r="Q23" s="34"/>
      <c r="R23" s="34"/>
      <c r="S23" s="35">
        <f t="shared" si="1"/>
        <v>0</v>
      </c>
    </row>
  </sheetData>
  <sheetProtection algorithmName="SHA-512" hashValue="y/ojYcNRpK2+qmJcdpXnf/E5vGe3oa337VKiNcd4JJe7EsQSEHRM5QfTCsO8N0HXEI7BD2X8d8j09nQIt9zecw==" saltValue="kAh+RRo2QpgZXH2pLJIvow==" spinCount="100000" sheet="1" objects="1" scenarios="1"/>
  <mergeCells count="4">
    <mergeCell ref="D2:G2"/>
    <mergeCell ref="H2:K2"/>
    <mergeCell ref="L2:O2"/>
    <mergeCell ref="P2:S2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27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7.5703125" style="3" bestFit="1" customWidth="1"/>
    <col min="8" max="9" width="4.7109375" style="3" customWidth="1"/>
    <col min="10" max="10" width="7" style="3" bestFit="1" customWidth="1"/>
    <col min="11" max="11" width="7.5703125" style="3" bestFit="1" customWidth="1"/>
    <col min="12" max="13" width="4.7109375" style="3" customWidth="1"/>
    <col min="14" max="14" width="7" style="3" bestFit="1" customWidth="1"/>
    <col min="15" max="15" width="7.5703125" style="3" bestFit="1" customWidth="1"/>
    <col min="16" max="17" width="4.7109375" style="3" customWidth="1"/>
    <col min="18" max="18" width="7" style="3" bestFit="1" customWidth="1"/>
    <col min="19" max="20" width="9" style="3"/>
    <col min="21" max="21" width="7.5703125" style="3" bestFit="1" customWidth="1"/>
    <col min="22" max="22" width="7.42578125" style="3" bestFit="1" customWidth="1"/>
    <col min="23" max="23" width="11.7109375" style="3" bestFit="1" customWidth="1"/>
    <col min="24" max="16384" width="9" style="3"/>
  </cols>
  <sheetData>
    <row r="1" spans="1:23" ht="15.75" thickBot="1" x14ac:dyDescent="0.3">
      <c r="A1" s="3" t="s">
        <v>19</v>
      </c>
      <c r="U1" s="4">
        <v>2</v>
      </c>
      <c r="W1" s="3" t="s">
        <v>32</v>
      </c>
    </row>
    <row r="2" spans="1:23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  <c r="P2" s="71" t="s">
        <v>43</v>
      </c>
      <c r="Q2" s="72"/>
      <c r="R2" s="72"/>
      <c r="S2" s="73"/>
      <c r="W2" s="3" t="s">
        <v>29</v>
      </c>
    </row>
    <row r="3" spans="1:23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P3" s="7" t="s">
        <v>2</v>
      </c>
      <c r="Q3" s="8" t="s">
        <v>10</v>
      </c>
      <c r="R3" s="8" t="s">
        <v>3</v>
      </c>
      <c r="S3" s="9" t="s">
        <v>20</v>
      </c>
      <c r="U3" s="7" t="s">
        <v>33</v>
      </c>
      <c r="V3" s="8" t="s">
        <v>32</v>
      </c>
      <c r="W3" s="9" t="s">
        <v>29</v>
      </c>
    </row>
    <row r="4" spans="1:23" x14ac:dyDescent="0.25">
      <c r="A4" s="36"/>
      <c r="B4" s="37"/>
      <c r="C4" s="41">
        <f>G4+K4+O4+S4</f>
        <v>0</v>
      </c>
      <c r="D4" s="28"/>
      <c r="E4" s="26"/>
      <c r="F4" s="25"/>
      <c r="G4" s="29">
        <f>600-ABS(600-(D4*60+E4))+MIN(50,IF($U$1=2,VLOOKUP(F4,$W$4:$W$27,1,FALSE),VLOOKUP(F4,$V$4:$W$27,2,FALSE)))</f>
        <v>0</v>
      </c>
      <c r="H4" s="28"/>
      <c r="I4" s="26"/>
      <c r="J4" s="25"/>
      <c r="K4" s="29">
        <f>600-ABS(600-(H4*60+I4))+MIN(50,IF($U$1=2,VLOOKUP(J4,$W$4:$W$27,1,FALSE),VLOOKUP(J4,$V$4:$W$27,2,FALSE)))</f>
        <v>0</v>
      </c>
      <c r="L4" s="28"/>
      <c r="M4" s="26"/>
      <c r="N4" s="26"/>
      <c r="O4" s="29">
        <f>600-ABS(600-(L4*60+M4))+MIN(50,IF($U$1=2,VLOOKUP(N4,$W$4:$W$27,1,FALSE),VLOOKUP(N4,$V$4:$W$27,2,FALSE)))</f>
        <v>0</v>
      </c>
      <c r="P4" s="28"/>
      <c r="Q4" s="26"/>
      <c r="R4" s="26"/>
      <c r="S4" s="29">
        <f>600-ABS(600-(P4*60+Q4))+MIN(50,IF($U$1=2,VLOOKUP(R4,$W$4:$W$27,1,FALSE),VLOOKUP(R4,$V$4:$W$27,2,FALSE)))</f>
        <v>0</v>
      </c>
      <c r="U4" s="10" t="s">
        <v>30</v>
      </c>
      <c r="V4" s="17">
        <v>100</v>
      </c>
      <c r="W4" s="18">
        <v>50</v>
      </c>
    </row>
    <row r="5" spans="1:23" x14ac:dyDescent="0.25">
      <c r="A5" s="32"/>
      <c r="B5" s="38"/>
      <c r="C5" s="42">
        <f t="shared" ref="C5:C23" si="0">G5+K5+O5+S5</f>
        <v>0</v>
      </c>
      <c r="D5" s="30"/>
      <c r="E5" s="23"/>
      <c r="F5" s="24"/>
      <c r="G5" s="29">
        <f t="shared" ref="G5:G23" si="1">600-ABS(600-(D5*60+E5))+MIN(50,IF($U$1=2,VLOOKUP(F5,$W$4:$W$27,1,FALSE),VLOOKUP(F5,$V$4:$W$27,2,FALSE)))</f>
        <v>0</v>
      </c>
      <c r="H5" s="30"/>
      <c r="I5" s="23"/>
      <c r="J5" s="24"/>
      <c r="K5" s="29">
        <f t="shared" ref="K5:K23" si="2">600-ABS(600-(H5*60+I5))+MIN(50,IF($U$1=2,VLOOKUP(J5,$W$4:$W$27,1,FALSE),VLOOKUP(J5,$V$4:$W$27,2,FALSE)))</f>
        <v>0</v>
      </c>
      <c r="L5" s="30"/>
      <c r="M5" s="23"/>
      <c r="N5" s="23"/>
      <c r="O5" s="29">
        <f t="shared" ref="O5:O23" si="3">600-ABS(600-(L5*60+M5))+MIN(50,IF($U$1=2,VLOOKUP(N5,$W$4:$W$27,1,FALSE),VLOOKUP(N5,$V$4:$W$27,2,FALSE)))</f>
        <v>0</v>
      </c>
      <c r="P5" s="30"/>
      <c r="Q5" s="23"/>
      <c r="R5" s="23"/>
      <c r="S5" s="29">
        <f t="shared" ref="S5:S23" si="4">600-ABS(600-(P5*60+Q5))+MIN(50,IF($U$1=2,VLOOKUP(R5,$W$4:$W$27,1,FALSE),VLOOKUP(R5,$V$4:$W$27,2,FALSE)))</f>
        <v>0</v>
      </c>
      <c r="U5" s="12"/>
      <c r="V5" s="19">
        <v>99</v>
      </c>
      <c r="W5" s="20">
        <v>50</v>
      </c>
    </row>
    <row r="6" spans="1:23" x14ac:dyDescent="0.25">
      <c r="A6" s="32"/>
      <c r="B6" s="38"/>
      <c r="C6" s="42">
        <f t="shared" si="0"/>
        <v>0</v>
      </c>
      <c r="D6" s="30"/>
      <c r="E6" s="23"/>
      <c r="F6" s="24"/>
      <c r="G6" s="29">
        <f t="shared" si="1"/>
        <v>0</v>
      </c>
      <c r="H6" s="30"/>
      <c r="I6" s="23"/>
      <c r="J6" s="24"/>
      <c r="K6" s="29">
        <f t="shared" si="2"/>
        <v>0</v>
      </c>
      <c r="L6" s="30"/>
      <c r="M6" s="23"/>
      <c r="N6" s="23"/>
      <c r="O6" s="29">
        <f t="shared" si="3"/>
        <v>0</v>
      </c>
      <c r="P6" s="30"/>
      <c r="Q6" s="23"/>
      <c r="R6" s="23"/>
      <c r="S6" s="29">
        <f t="shared" si="4"/>
        <v>0</v>
      </c>
      <c r="U6" s="12"/>
      <c r="V6" s="19">
        <v>98</v>
      </c>
      <c r="W6" s="20">
        <v>50</v>
      </c>
    </row>
    <row r="7" spans="1:23" x14ac:dyDescent="0.25">
      <c r="A7" s="32"/>
      <c r="B7" s="38"/>
      <c r="C7" s="42">
        <f t="shared" si="0"/>
        <v>0</v>
      </c>
      <c r="D7" s="32"/>
      <c r="E7" s="24"/>
      <c r="F7" s="24"/>
      <c r="G7" s="29">
        <f t="shared" si="1"/>
        <v>0</v>
      </c>
      <c r="H7" s="32"/>
      <c r="I7" s="24"/>
      <c r="J7" s="24"/>
      <c r="K7" s="29">
        <f t="shared" si="2"/>
        <v>0</v>
      </c>
      <c r="L7" s="32"/>
      <c r="M7" s="24"/>
      <c r="N7" s="24"/>
      <c r="O7" s="29">
        <f t="shared" si="3"/>
        <v>0</v>
      </c>
      <c r="P7" s="32"/>
      <c r="Q7" s="24"/>
      <c r="R7" s="24"/>
      <c r="S7" s="29">
        <f t="shared" si="4"/>
        <v>0</v>
      </c>
      <c r="U7" s="12"/>
      <c r="V7" s="19">
        <v>97</v>
      </c>
      <c r="W7" s="20">
        <v>50</v>
      </c>
    </row>
    <row r="8" spans="1:23" x14ac:dyDescent="0.25">
      <c r="A8" s="32"/>
      <c r="B8" s="38"/>
      <c r="C8" s="42">
        <f t="shared" si="0"/>
        <v>0</v>
      </c>
      <c r="D8" s="32"/>
      <c r="E8" s="24"/>
      <c r="F8" s="24"/>
      <c r="G8" s="29">
        <f t="shared" si="1"/>
        <v>0</v>
      </c>
      <c r="H8" s="32"/>
      <c r="I8" s="24"/>
      <c r="J8" s="24"/>
      <c r="K8" s="29">
        <f t="shared" si="2"/>
        <v>0</v>
      </c>
      <c r="L8" s="32"/>
      <c r="M8" s="24"/>
      <c r="N8" s="24"/>
      <c r="O8" s="29">
        <f t="shared" si="3"/>
        <v>0</v>
      </c>
      <c r="P8" s="32"/>
      <c r="Q8" s="24"/>
      <c r="R8" s="24"/>
      <c r="S8" s="29">
        <f t="shared" si="4"/>
        <v>0</v>
      </c>
      <c r="U8" s="12"/>
      <c r="V8" s="19">
        <v>96</v>
      </c>
      <c r="W8" s="20">
        <v>50</v>
      </c>
    </row>
    <row r="9" spans="1:23" x14ac:dyDescent="0.25">
      <c r="A9" s="32"/>
      <c r="B9" s="38"/>
      <c r="C9" s="42">
        <f t="shared" si="0"/>
        <v>0</v>
      </c>
      <c r="D9" s="32"/>
      <c r="E9" s="24"/>
      <c r="F9" s="24"/>
      <c r="G9" s="29">
        <f t="shared" si="1"/>
        <v>0</v>
      </c>
      <c r="H9" s="32"/>
      <c r="I9" s="24"/>
      <c r="J9" s="24"/>
      <c r="K9" s="29">
        <f t="shared" si="2"/>
        <v>0</v>
      </c>
      <c r="L9" s="32"/>
      <c r="M9" s="24"/>
      <c r="N9" s="24"/>
      <c r="O9" s="29">
        <f t="shared" si="3"/>
        <v>0</v>
      </c>
      <c r="P9" s="32"/>
      <c r="Q9" s="24"/>
      <c r="R9" s="24"/>
      <c r="S9" s="29">
        <f t="shared" si="4"/>
        <v>0</v>
      </c>
      <c r="U9" s="12" t="s">
        <v>31</v>
      </c>
      <c r="V9" s="19">
        <v>95</v>
      </c>
      <c r="W9" s="20">
        <v>45</v>
      </c>
    </row>
    <row r="10" spans="1:23" x14ac:dyDescent="0.25">
      <c r="A10" s="32"/>
      <c r="B10" s="38"/>
      <c r="C10" s="42">
        <f t="shared" si="0"/>
        <v>0</v>
      </c>
      <c r="D10" s="32"/>
      <c r="E10" s="24"/>
      <c r="F10" s="24"/>
      <c r="G10" s="29">
        <f t="shared" si="1"/>
        <v>0</v>
      </c>
      <c r="H10" s="32"/>
      <c r="I10" s="24"/>
      <c r="J10" s="24"/>
      <c r="K10" s="29">
        <f t="shared" si="2"/>
        <v>0</v>
      </c>
      <c r="L10" s="32"/>
      <c r="M10" s="24"/>
      <c r="N10" s="24"/>
      <c r="O10" s="29">
        <f t="shared" si="3"/>
        <v>0</v>
      </c>
      <c r="P10" s="32"/>
      <c r="Q10" s="24"/>
      <c r="R10" s="24"/>
      <c r="S10" s="29">
        <f t="shared" si="4"/>
        <v>0</v>
      </c>
      <c r="U10" s="12"/>
      <c r="V10" s="19">
        <v>94</v>
      </c>
      <c r="W10" s="20">
        <v>45</v>
      </c>
    </row>
    <row r="11" spans="1:23" x14ac:dyDescent="0.25">
      <c r="A11" s="32"/>
      <c r="B11" s="38"/>
      <c r="C11" s="42">
        <f t="shared" si="0"/>
        <v>0</v>
      </c>
      <c r="D11" s="32"/>
      <c r="E11" s="24"/>
      <c r="F11" s="24"/>
      <c r="G11" s="29">
        <f t="shared" si="1"/>
        <v>0</v>
      </c>
      <c r="H11" s="32"/>
      <c r="I11" s="24"/>
      <c r="J11" s="24"/>
      <c r="K11" s="29">
        <f t="shared" si="2"/>
        <v>0</v>
      </c>
      <c r="L11" s="32"/>
      <c r="M11" s="24"/>
      <c r="N11" s="24"/>
      <c r="O11" s="29">
        <f t="shared" si="3"/>
        <v>0</v>
      </c>
      <c r="P11" s="32"/>
      <c r="Q11" s="24"/>
      <c r="R11" s="24"/>
      <c r="S11" s="29">
        <f t="shared" si="4"/>
        <v>0</v>
      </c>
      <c r="U11" s="12"/>
      <c r="V11" s="19">
        <v>93</v>
      </c>
      <c r="W11" s="20">
        <v>45</v>
      </c>
    </row>
    <row r="12" spans="1:23" x14ac:dyDescent="0.25">
      <c r="A12" s="32"/>
      <c r="B12" s="38"/>
      <c r="C12" s="42">
        <f t="shared" si="0"/>
        <v>0</v>
      </c>
      <c r="D12" s="32"/>
      <c r="E12" s="24"/>
      <c r="F12" s="24"/>
      <c r="G12" s="29">
        <f t="shared" si="1"/>
        <v>0</v>
      </c>
      <c r="H12" s="32"/>
      <c r="I12" s="24"/>
      <c r="J12" s="24"/>
      <c r="K12" s="29">
        <f t="shared" si="2"/>
        <v>0</v>
      </c>
      <c r="L12" s="32"/>
      <c r="M12" s="24"/>
      <c r="N12" s="24"/>
      <c r="O12" s="29">
        <f t="shared" si="3"/>
        <v>0</v>
      </c>
      <c r="P12" s="32"/>
      <c r="Q12" s="24"/>
      <c r="R12" s="24"/>
      <c r="S12" s="29">
        <f t="shared" si="4"/>
        <v>0</v>
      </c>
      <c r="U12" s="12"/>
      <c r="V12" s="19">
        <v>92</v>
      </c>
      <c r="W12" s="20">
        <v>45</v>
      </c>
    </row>
    <row r="13" spans="1:23" x14ac:dyDescent="0.25">
      <c r="A13" s="32"/>
      <c r="B13" s="38"/>
      <c r="C13" s="42">
        <f t="shared" si="0"/>
        <v>0</v>
      </c>
      <c r="D13" s="32"/>
      <c r="E13" s="24"/>
      <c r="F13" s="24"/>
      <c r="G13" s="29">
        <f t="shared" si="1"/>
        <v>0</v>
      </c>
      <c r="H13" s="32"/>
      <c r="I13" s="24"/>
      <c r="J13" s="24"/>
      <c r="K13" s="29">
        <f t="shared" si="2"/>
        <v>0</v>
      </c>
      <c r="L13" s="32"/>
      <c r="M13" s="24"/>
      <c r="N13" s="24"/>
      <c r="O13" s="29">
        <f t="shared" si="3"/>
        <v>0</v>
      </c>
      <c r="P13" s="32"/>
      <c r="Q13" s="24"/>
      <c r="R13" s="24"/>
      <c r="S13" s="29">
        <f t="shared" si="4"/>
        <v>0</v>
      </c>
      <c r="U13" s="12"/>
      <c r="V13" s="19">
        <v>91</v>
      </c>
      <c r="W13" s="20">
        <v>45</v>
      </c>
    </row>
    <row r="14" spans="1:23" x14ac:dyDescent="0.25">
      <c r="A14" s="32"/>
      <c r="B14" s="38"/>
      <c r="C14" s="42">
        <f t="shared" si="0"/>
        <v>0</v>
      </c>
      <c r="D14" s="32"/>
      <c r="E14" s="24"/>
      <c r="F14" s="24"/>
      <c r="G14" s="29">
        <f t="shared" si="1"/>
        <v>0</v>
      </c>
      <c r="H14" s="32"/>
      <c r="I14" s="24"/>
      <c r="J14" s="24"/>
      <c r="K14" s="29">
        <f t="shared" si="2"/>
        <v>0</v>
      </c>
      <c r="L14" s="32"/>
      <c r="M14" s="24"/>
      <c r="N14" s="24"/>
      <c r="O14" s="29">
        <f t="shared" si="3"/>
        <v>0</v>
      </c>
      <c r="P14" s="32"/>
      <c r="Q14" s="24"/>
      <c r="R14" s="24"/>
      <c r="S14" s="29">
        <f t="shared" si="4"/>
        <v>0</v>
      </c>
      <c r="U14" s="12" t="s">
        <v>34</v>
      </c>
      <c r="V14" s="19">
        <v>90</v>
      </c>
      <c r="W14" s="20">
        <v>40</v>
      </c>
    </row>
    <row r="15" spans="1:23" x14ac:dyDescent="0.25">
      <c r="A15" s="32"/>
      <c r="B15" s="38"/>
      <c r="C15" s="42">
        <f t="shared" si="0"/>
        <v>0</v>
      </c>
      <c r="D15" s="32"/>
      <c r="E15" s="24"/>
      <c r="F15" s="24"/>
      <c r="G15" s="29">
        <f t="shared" si="1"/>
        <v>0</v>
      </c>
      <c r="H15" s="32"/>
      <c r="I15" s="24"/>
      <c r="J15" s="24"/>
      <c r="K15" s="29">
        <f t="shared" si="2"/>
        <v>0</v>
      </c>
      <c r="L15" s="32"/>
      <c r="M15" s="24"/>
      <c r="N15" s="24"/>
      <c r="O15" s="29">
        <f t="shared" si="3"/>
        <v>0</v>
      </c>
      <c r="P15" s="32"/>
      <c r="Q15" s="24"/>
      <c r="R15" s="24"/>
      <c r="S15" s="29">
        <f t="shared" si="4"/>
        <v>0</v>
      </c>
      <c r="U15" s="12" t="s">
        <v>35</v>
      </c>
      <c r="V15" s="19">
        <v>85</v>
      </c>
      <c r="W15" s="20">
        <v>35</v>
      </c>
    </row>
    <row r="16" spans="1:23" x14ac:dyDescent="0.25">
      <c r="A16" s="32"/>
      <c r="B16" s="38"/>
      <c r="C16" s="42">
        <f t="shared" si="0"/>
        <v>0</v>
      </c>
      <c r="D16" s="32"/>
      <c r="E16" s="24"/>
      <c r="F16" s="24"/>
      <c r="G16" s="29">
        <f t="shared" si="1"/>
        <v>0</v>
      </c>
      <c r="H16" s="32"/>
      <c r="I16" s="24"/>
      <c r="J16" s="24"/>
      <c r="K16" s="29">
        <f t="shared" si="2"/>
        <v>0</v>
      </c>
      <c r="L16" s="32"/>
      <c r="M16" s="24"/>
      <c r="N16" s="24"/>
      <c r="O16" s="29">
        <f t="shared" si="3"/>
        <v>0</v>
      </c>
      <c r="P16" s="32"/>
      <c r="Q16" s="24"/>
      <c r="R16" s="24"/>
      <c r="S16" s="29">
        <f t="shared" si="4"/>
        <v>0</v>
      </c>
      <c r="U16" s="12" t="s">
        <v>36</v>
      </c>
      <c r="V16" s="19">
        <v>80</v>
      </c>
      <c r="W16" s="20">
        <v>30</v>
      </c>
    </row>
    <row r="17" spans="1:23" x14ac:dyDescent="0.25">
      <c r="A17" s="32"/>
      <c r="B17" s="38"/>
      <c r="C17" s="42">
        <f t="shared" si="0"/>
        <v>0</v>
      </c>
      <c r="D17" s="32"/>
      <c r="E17" s="24"/>
      <c r="F17" s="24"/>
      <c r="G17" s="29">
        <f t="shared" si="1"/>
        <v>0</v>
      </c>
      <c r="H17" s="32"/>
      <c r="I17" s="24"/>
      <c r="J17" s="24"/>
      <c r="K17" s="29">
        <f t="shared" si="2"/>
        <v>0</v>
      </c>
      <c r="L17" s="32"/>
      <c r="M17" s="24"/>
      <c r="N17" s="24"/>
      <c r="O17" s="29">
        <f t="shared" si="3"/>
        <v>0</v>
      </c>
      <c r="P17" s="32"/>
      <c r="Q17" s="24"/>
      <c r="R17" s="24"/>
      <c r="S17" s="29">
        <f t="shared" si="4"/>
        <v>0</v>
      </c>
      <c r="U17" s="12" t="s">
        <v>37</v>
      </c>
      <c r="V17" s="19">
        <v>75</v>
      </c>
      <c r="W17" s="20">
        <v>25</v>
      </c>
    </row>
    <row r="18" spans="1:23" x14ac:dyDescent="0.25">
      <c r="A18" s="32"/>
      <c r="B18" s="38"/>
      <c r="C18" s="42">
        <f t="shared" si="0"/>
        <v>0</v>
      </c>
      <c r="D18" s="32"/>
      <c r="E18" s="24"/>
      <c r="F18" s="24"/>
      <c r="G18" s="29">
        <f t="shared" si="1"/>
        <v>0</v>
      </c>
      <c r="H18" s="32"/>
      <c r="I18" s="24"/>
      <c r="J18" s="24"/>
      <c r="K18" s="29">
        <f t="shared" si="2"/>
        <v>0</v>
      </c>
      <c r="L18" s="32"/>
      <c r="M18" s="24"/>
      <c r="N18" s="24"/>
      <c r="O18" s="29">
        <f t="shared" si="3"/>
        <v>0</v>
      </c>
      <c r="P18" s="32"/>
      <c r="Q18" s="24"/>
      <c r="R18" s="24"/>
      <c r="S18" s="29">
        <f t="shared" si="4"/>
        <v>0</v>
      </c>
      <c r="U18" s="12" t="s">
        <v>38</v>
      </c>
      <c r="V18" s="19">
        <v>70</v>
      </c>
      <c r="W18" s="20">
        <v>20</v>
      </c>
    </row>
    <row r="19" spans="1:23" x14ac:dyDescent="0.25">
      <c r="A19" s="32"/>
      <c r="B19" s="38"/>
      <c r="C19" s="42">
        <f t="shared" si="0"/>
        <v>0</v>
      </c>
      <c r="D19" s="32"/>
      <c r="E19" s="24"/>
      <c r="F19" s="24"/>
      <c r="G19" s="29">
        <f t="shared" si="1"/>
        <v>0</v>
      </c>
      <c r="H19" s="32"/>
      <c r="I19" s="24"/>
      <c r="J19" s="24"/>
      <c r="K19" s="29">
        <f t="shared" si="2"/>
        <v>0</v>
      </c>
      <c r="L19" s="32"/>
      <c r="M19" s="24"/>
      <c r="N19" s="24"/>
      <c r="O19" s="29">
        <f t="shared" si="3"/>
        <v>0</v>
      </c>
      <c r="P19" s="32"/>
      <c r="Q19" s="24"/>
      <c r="R19" s="24"/>
      <c r="S19" s="29">
        <f t="shared" si="4"/>
        <v>0</v>
      </c>
      <c r="U19" s="12" t="s">
        <v>39</v>
      </c>
      <c r="V19" s="19">
        <v>65</v>
      </c>
      <c r="W19" s="20">
        <v>15</v>
      </c>
    </row>
    <row r="20" spans="1:23" x14ac:dyDescent="0.25">
      <c r="A20" s="32"/>
      <c r="B20" s="38"/>
      <c r="C20" s="42">
        <f t="shared" si="0"/>
        <v>0</v>
      </c>
      <c r="D20" s="32"/>
      <c r="E20" s="24"/>
      <c r="F20" s="24"/>
      <c r="G20" s="29">
        <f t="shared" si="1"/>
        <v>0</v>
      </c>
      <c r="H20" s="32"/>
      <c r="I20" s="24"/>
      <c r="J20" s="24"/>
      <c r="K20" s="29">
        <f t="shared" si="2"/>
        <v>0</v>
      </c>
      <c r="L20" s="32"/>
      <c r="M20" s="24"/>
      <c r="N20" s="24"/>
      <c r="O20" s="29">
        <f t="shared" si="3"/>
        <v>0</v>
      </c>
      <c r="P20" s="32"/>
      <c r="Q20" s="24"/>
      <c r="R20" s="24"/>
      <c r="S20" s="29">
        <f t="shared" si="4"/>
        <v>0</v>
      </c>
      <c r="U20" s="12" t="s">
        <v>40</v>
      </c>
      <c r="V20" s="19">
        <v>60</v>
      </c>
      <c r="W20" s="20">
        <v>10</v>
      </c>
    </row>
    <row r="21" spans="1:23" x14ac:dyDescent="0.25">
      <c r="A21" s="32"/>
      <c r="B21" s="38"/>
      <c r="C21" s="42">
        <f t="shared" si="0"/>
        <v>0</v>
      </c>
      <c r="D21" s="32"/>
      <c r="E21" s="24"/>
      <c r="F21" s="24"/>
      <c r="G21" s="29">
        <f t="shared" si="1"/>
        <v>0</v>
      </c>
      <c r="H21" s="32"/>
      <c r="I21" s="24"/>
      <c r="J21" s="24"/>
      <c r="K21" s="29">
        <f t="shared" si="2"/>
        <v>0</v>
      </c>
      <c r="L21" s="32"/>
      <c r="M21" s="24"/>
      <c r="N21" s="24"/>
      <c r="O21" s="29">
        <f t="shared" si="3"/>
        <v>0</v>
      </c>
      <c r="P21" s="32"/>
      <c r="Q21" s="24"/>
      <c r="R21" s="24"/>
      <c r="S21" s="29">
        <f t="shared" si="4"/>
        <v>0</v>
      </c>
      <c r="U21" s="12" t="s">
        <v>41</v>
      </c>
      <c r="V21" s="19">
        <v>55</v>
      </c>
      <c r="W21" s="20">
        <v>5</v>
      </c>
    </row>
    <row r="22" spans="1:23" ht="15.75" thickBot="1" x14ac:dyDescent="0.3">
      <c r="A22" s="32"/>
      <c r="B22" s="38"/>
      <c r="C22" s="42">
        <f t="shared" si="0"/>
        <v>0</v>
      </c>
      <c r="D22" s="32"/>
      <c r="E22" s="24"/>
      <c r="F22" s="24"/>
      <c r="G22" s="29">
        <f t="shared" si="1"/>
        <v>0</v>
      </c>
      <c r="H22" s="32"/>
      <c r="I22" s="24"/>
      <c r="J22" s="24"/>
      <c r="K22" s="29">
        <f t="shared" si="2"/>
        <v>0</v>
      </c>
      <c r="L22" s="32"/>
      <c r="M22" s="24"/>
      <c r="N22" s="24"/>
      <c r="O22" s="29">
        <f t="shared" si="3"/>
        <v>0</v>
      </c>
      <c r="P22" s="32"/>
      <c r="Q22" s="24"/>
      <c r="R22" s="24"/>
      <c r="S22" s="29">
        <f t="shared" si="4"/>
        <v>0</v>
      </c>
      <c r="U22" s="14" t="s">
        <v>42</v>
      </c>
      <c r="V22" s="60">
        <v>50</v>
      </c>
      <c r="W22" s="61">
        <v>0</v>
      </c>
    </row>
    <row r="23" spans="1:23" ht="15.75" thickBot="1" x14ac:dyDescent="0.3">
      <c r="A23" s="33"/>
      <c r="B23" s="39"/>
      <c r="C23" s="43">
        <f t="shared" si="0"/>
        <v>0</v>
      </c>
      <c r="D23" s="33"/>
      <c r="E23" s="34"/>
      <c r="F23" s="34"/>
      <c r="G23" s="29">
        <f t="shared" si="1"/>
        <v>0</v>
      </c>
      <c r="H23" s="33"/>
      <c r="I23" s="34"/>
      <c r="J23" s="34"/>
      <c r="K23" s="29">
        <f t="shared" si="2"/>
        <v>0</v>
      </c>
      <c r="L23" s="33"/>
      <c r="M23" s="34"/>
      <c r="N23" s="34"/>
      <c r="O23" s="29">
        <f t="shared" si="3"/>
        <v>0</v>
      </c>
      <c r="P23" s="33"/>
      <c r="Q23" s="34"/>
      <c r="R23" s="34"/>
      <c r="S23" s="29">
        <f t="shared" si="4"/>
        <v>0</v>
      </c>
      <c r="V23" s="62">
        <v>45</v>
      </c>
      <c r="W23" s="63">
        <v>0</v>
      </c>
    </row>
    <row r="24" spans="1:23" x14ac:dyDescent="0.25">
      <c r="V24" s="64">
        <v>40</v>
      </c>
      <c r="W24" s="65">
        <v>0</v>
      </c>
    </row>
    <row r="25" spans="1:23" x14ac:dyDescent="0.25">
      <c r="V25" s="64">
        <v>35</v>
      </c>
      <c r="W25" s="65">
        <v>0</v>
      </c>
    </row>
    <row r="26" spans="1:23" x14ac:dyDescent="0.25">
      <c r="V26" s="64">
        <v>30</v>
      </c>
      <c r="W26" s="65">
        <v>0</v>
      </c>
    </row>
    <row r="27" spans="1:23" ht="15.75" thickBot="1" x14ac:dyDescent="0.3">
      <c r="V27" s="66">
        <v>0</v>
      </c>
      <c r="W27" s="67">
        <v>0</v>
      </c>
    </row>
  </sheetData>
  <sheetProtection algorithmName="SHA-512" hashValue="v7XPj+ve0ZB4/z7S3zLIuM/5tEkB2oCQeWmbV6v0OtjgtMQm7cjlK0LCQ+o7tpdgFsxxYu4T4cfei+GzqphaNg==" saltValue="GGW3ZAyf3Iew0o9BkN2y5A==" spinCount="100000" sheet="1" objects="1" scenarios="1"/>
  <mergeCells count="4">
    <mergeCell ref="D2:G2"/>
    <mergeCell ref="H2:K2"/>
    <mergeCell ref="L2:O2"/>
    <mergeCell ref="P2:S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7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7.5703125" style="3" bestFit="1" customWidth="1"/>
    <col min="8" max="9" width="4.7109375" style="3" customWidth="1"/>
    <col min="10" max="10" width="7" style="3" bestFit="1" customWidth="1"/>
    <col min="11" max="11" width="7.5703125" style="3" bestFit="1" customWidth="1"/>
    <col min="12" max="13" width="4.7109375" style="3" customWidth="1"/>
    <col min="14" max="14" width="7" style="3" bestFit="1" customWidth="1"/>
    <col min="15" max="15" width="7.5703125" style="3" bestFit="1" customWidth="1"/>
    <col min="16" max="16" width="9" style="3"/>
    <col min="17" max="17" width="7.5703125" style="3" bestFit="1" customWidth="1"/>
    <col min="18" max="18" width="7.42578125" style="3" bestFit="1" customWidth="1"/>
    <col min="19" max="19" width="11.7109375" style="3" bestFit="1" customWidth="1"/>
    <col min="20" max="16384" width="9" style="3"/>
  </cols>
  <sheetData>
    <row r="1" spans="1:19" ht="15.75" thickBot="1" x14ac:dyDescent="0.3">
      <c r="A1" s="3" t="s">
        <v>46</v>
      </c>
      <c r="Q1" s="4">
        <v>1</v>
      </c>
      <c r="S1" s="3" t="s">
        <v>32</v>
      </c>
    </row>
    <row r="2" spans="1:19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  <c r="S2" s="3" t="s">
        <v>29</v>
      </c>
    </row>
    <row r="3" spans="1:19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Q3" s="7" t="s">
        <v>33</v>
      </c>
      <c r="R3" s="8" t="s">
        <v>32</v>
      </c>
      <c r="S3" s="9" t="s">
        <v>29</v>
      </c>
    </row>
    <row r="4" spans="1:19" x14ac:dyDescent="0.25">
      <c r="A4" s="36"/>
      <c r="B4" s="37"/>
      <c r="C4" s="41">
        <f>G4+K4+O4</f>
        <v>0</v>
      </c>
      <c r="D4" s="28"/>
      <c r="E4" s="26"/>
      <c r="F4" s="25"/>
      <c r="G4" s="29">
        <f t="shared" ref="G4:G23" si="0">420-ABS(420-(D4*60+E4))+MIN(50,IF($Q$1=2,VLOOKUP(F4,$S$4:$S$27,1,FALSE),VLOOKUP(F4,$R$4:$S$27,2,FALSE)))</f>
        <v>0</v>
      </c>
      <c r="H4" s="28"/>
      <c r="I4" s="26"/>
      <c r="J4" s="25"/>
      <c r="K4" s="29">
        <f t="shared" ref="K4:K23" si="1">420-ABS(420-(H4*60+I4))+MIN(50,IF($Q$1=2,VLOOKUP(J4,$S$4:$S$27,1,FALSE),VLOOKUP(J4,$R$4:$S$27,2,FALSE)))</f>
        <v>0</v>
      </c>
      <c r="L4" s="28"/>
      <c r="M4" s="26"/>
      <c r="N4" s="26"/>
      <c r="O4" s="29">
        <f t="shared" ref="O4:O23" si="2">420-ABS(420-(L4*60+M4))+MIN(50,IF($Q$1=2,VLOOKUP(N4,$S$4:$S$27,1,FALSE),VLOOKUP(N4,$R$4:$S$27,2,FALSE)))</f>
        <v>0</v>
      </c>
      <c r="Q4" s="10" t="s">
        <v>30</v>
      </c>
      <c r="R4" s="17">
        <v>100</v>
      </c>
      <c r="S4" s="18">
        <v>50</v>
      </c>
    </row>
    <row r="5" spans="1:19" x14ac:dyDescent="0.25">
      <c r="A5" s="32"/>
      <c r="B5" s="38"/>
      <c r="C5" s="42">
        <f>G5+K5+O5</f>
        <v>0</v>
      </c>
      <c r="D5" s="30"/>
      <c r="E5" s="23"/>
      <c r="F5" s="24"/>
      <c r="G5" s="29">
        <f t="shared" si="0"/>
        <v>0</v>
      </c>
      <c r="H5" s="30"/>
      <c r="I5" s="23"/>
      <c r="J5" s="24"/>
      <c r="K5" s="29">
        <f t="shared" si="1"/>
        <v>0</v>
      </c>
      <c r="L5" s="30"/>
      <c r="M5" s="23"/>
      <c r="N5" s="23"/>
      <c r="O5" s="29">
        <f t="shared" si="2"/>
        <v>0</v>
      </c>
      <c r="Q5" s="12"/>
      <c r="R5" s="19">
        <v>99</v>
      </c>
      <c r="S5" s="20">
        <v>50</v>
      </c>
    </row>
    <row r="6" spans="1:19" x14ac:dyDescent="0.25">
      <c r="A6" s="32"/>
      <c r="B6" s="38"/>
      <c r="C6" s="42">
        <f>G6+K6+O6</f>
        <v>0</v>
      </c>
      <c r="D6" s="30"/>
      <c r="E6" s="23"/>
      <c r="F6" s="24"/>
      <c r="G6" s="29">
        <f t="shared" si="0"/>
        <v>0</v>
      </c>
      <c r="H6" s="30"/>
      <c r="I6" s="23"/>
      <c r="J6" s="24"/>
      <c r="K6" s="29">
        <f t="shared" si="1"/>
        <v>0</v>
      </c>
      <c r="L6" s="30"/>
      <c r="M6" s="23"/>
      <c r="N6" s="23"/>
      <c r="O6" s="29">
        <f t="shared" si="2"/>
        <v>0</v>
      </c>
      <c r="Q6" s="12"/>
      <c r="R6" s="19">
        <v>98</v>
      </c>
      <c r="S6" s="20">
        <v>50</v>
      </c>
    </row>
    <row r="7" spans="1:19" x14ac:dyDescent="0.25">
      <c r="A7" s="32"/>
      <c r="B7" s="38"/>
      <c r="C7" s="42">
        <f t="shared" ref="C7:C23" si="3">G7+K7+O7</f>
        <v>0</v>
      </c>
      <c r="D7" s="32"/>
      <c r="E7" s="24"/>
      <c r="F7" s="24"/>
      <c r="G7" s="29">
        <f t="shared" si="0"/>
        <v>0</v>
      </c>
      <c r="H7" s="32"/>
      <c r="I7" s="24"/>
      <c r="J7" s="24"/>
      <c r="K7" s="29">
        <f t="shared" si="1"/>
        <v>0</v>
      </c>
      <c r="L7" s="32"/>
      <c r="M7" s="24"/>
      <c r="N7" s="24"/>
      <c r="O7" s="29">
        <f t="shared" si="2"/>
        <v>0</v>
      </c>
      <c r="Q7" s="12"/>
      <c r="R7" s="19">
        <v>97</v>
      </c>
      <c r="S7" s="20">
        <v>50</v>
      </c>
    </row>
    <row r="8" spans="1:19" x14ac:dyDescent="0.25">
      <c r="A8" s="32"/>
      <c r="B8" s="38"/>
      <c r="C8" s="42">
        <f t="shared" si="3"/>
        <v>0</v>
      </c>
      <c r="D8" s="32"/>
      <c r="E8" s="24"/>
      <c r="F8" s="24"/>
      <c r="G8" s="29">
        <f t="shared" si="0"/>
        <v>0</v>
      </c>
      <c r="H8" s="32"/>
      <c r="I8" s="24"/>
      <c r="J8" s="24"/>
      <c r="K8" s="29">
        <f t="shared" si="1"/>
        <v>0</v>
      </c>
      <c r="L8" s="32"/>
      <c r="M8" s="24"/>
      <c r="N8" s="24"/>
      <c r="O8" s="29">
        <f t="shared" si="2"/>
        <v>0</v>
      </c>
      <c r="Q8" s="12"/>
      <c r="R8" s="19">
        <v>96</v>
      </c>
      <c r="S8" s="20">
        <v>50</v>
      </c>
    </row>
    <row r="9" spans="1:19" x14ac:dyDescent="0.25">
      <c r="A9" s="32"/>
      <c r="B9" s="38"/>
      <c r="C9" s="42">
        <f t="shared" si="3"/>
        <v>0</v>
      </c>
      <c r="D9" s="32"/>
      <c r="E9" s="24"/>
      <c r="F9" s="24"/>
      <c r="G9" s="29">
        <f t="shared" si="0"/>
        <v>0</v>
      </c>
      <c r="H9" s="32"/>
      <c r="I9" s="24"/>
      <c r="J9" s="24"/>
      <c r="K9" s="29">
        <f t="shared" si="1"/>
        <v>0</v>
      </c>
      <c r="L9" s="32"/>
      <c r="M9" s="24"/>
      <c r="N9" s="24"/>
      <c r="O9" s="29">
        <f t="shared" si="2"/>
        <v>0</v>
      </c>
      <c r="Q9" s="12" t="s">
        <v>31</v>
      </c>
      <c r="R9" s="19">
        <v>95</v>
      </c>
      <c r="S9" s="20">
        <v>50</v>
      </c>
    </row>
    <row r="10" spans="1:19" x14ac:dyDescent="0.25">
      <c r="A10" s="32"/>
      <c r="B10" s="38"/>
      <c r="C10" s="42">
        <f t="shared" si="3"/>
        <v>0</v>
      </c>
      <c r="D10" s="32"/>
      <c r="E10" s="24"/>
      <c r="F10" s="24"/>
      <c r="G10" s="29">
        <f t="shared" si="0"/>
        <v>0</v>
      </c>
      <c r="H10" s="32"/>
      <c r="I10" s="24"/>
      <c r="J10" s="24"/>
      <c r="K10" s="29">
        <f t="shared" si="1"/>
        <v>0</v>
      </c>
      <c r="L10" s="32"/>
      <c r="M10" s="24"/>
      <c r="N10" s="24"/>
      <c r="O10" s="29">
        <f t="shared" si="2"/>
        <v>0</v>
      </c>
      <c r="Q10" s="12"/>
      <c r="R10" s="19">
        <v>94</v>
      </c>
      <c r="S10" s="20">
        <v>50</v>
      </c>
    </row>
    <row r="11" spans="1:19" x14ac:dyDescent="0.25">
      <c r="A11" s="32"/>
      <c r="B11" s="38"/>
      <c r="C11" s="42">
        <f t="shared" si="3"/>
        <v>0</v>
      </c>
      <c r="D11" s="32"/>
      <c r="E11" s="24"/>
      <c r="F11" s="24"/>
      <c r="G11" s="29">
        <f t="shared" si="0"/>
        <v>0</v>
      </c>
      <c r="H11" s="32"/>
      <c r="I11" s="24"/>
      <c r="J11" s="24"/>
      <c r="K11" s="29">
        <f t="shared" si="1"/>
        <v>0</v>
      </c>
      <c r="L11" s="32"/>
      <c r="M11" s="24"/>
      <c r="N11" s="24"/>
      <c r="O11" s="29">
        <f t="shared" si="2"/>
        <v>0</v>
      </c>
      <c r="Q11" s="12"/>
      <c r="R11" s="19">
        <v>93</v>
      </c>
      <c r="S11" s="20">
        <v>50</v>
      </c>
    </row>
    <row r="12" spans="1:19" x14ac:dyDescent="0.25">
      <c r="A12" s="32"/>
      <c r="B12" s="38"/>
      <c r="C12" s="42">
        <f t="shared" si="3"/>
        <v>0</v>
      </c>
      <c r="D12" s="32"/>
      <c r="E12" s="24"/>
      <c r="F12" s="24"/>
      <c r="G12" s="29">
        <f t="shared" si="0"/>
        <v>0</v>
      </c>
      <c r="H12" s="32"/>
      <c r="I12" s="24"/>
      <c r="J12" s="24"/>
      <c r="K12" s="29">
        <f t="shared" si="1"/>
        <v>0</v>
      </c>
      <c r="L12" s="32"/>
      <c r="M12" s="24"/>
      <c r="N12" s="24"/>
      <c r="O12" s="29">
        <f t="shared" si="2"/>
        <v>0</v>
      </c>
      <c r="Q12" s="12"/>
      <c r="R12" s="19">
        <v>92</v>
      </c>
      <c r="S12" s="20">
        <v>50</v>
      </c>
    </row>
    <row r="13" spans="1:19" x14ac:dyDescent="0.25">
      <c r="A13" s="32"/>
      <c r="B13" s="38"/>
      <c r="C13" s="42">
        <f t="shared" si="3"/>
        <v>0</v>
      </c>
      <c r="D13" s="32"/>
      <c r="E13" s="24"/>
      <c r="F13" s="24"/>
      <c r="G13" s="29">
        <f t="shared" si="0"/>
        <v>0</v>
      </c>
      <c r="H13" s="32"/>
      <c r="I13" s="24"/>
      <c r="J13" s="24"/>
      <c r="K13" s="29">
        <f t="shared" si="1"/>
        <v>0</v>
      </c>
      <c r="L13" s="32"/>
      <c r="M13" s="24"/>
      <c r="N13" s="24"/>
      <c r="O13" s="29">
        <f t="shared" si="2"/>
        <v>0</v>
      </c>
      <c r="Q13" s="12"/>
      <c r="R13" s="19">
        <v>91</v>
      </c>
      <c r="S13" s="20">
        <v>50</v>
      </c>
    </row>
    <row r="14" spans="1:19" x14ac:dyDescent="0.25">
      <c r="A14" s="32"/>
      <c r="B14" s="38"/>
      <c r="C14" s="42">
        <f t="shared" si="3"/>
        <v>0</v>
      </c>
      <c r="D14" s="32"/>
      <c r="E14" s="24"/>
      <c r="F14" s="24"/>
      <c r="G14" s="29">
        <f t="shared" si="0"/>
        <v>0</v>
      </c>
      <c r="H14" s="32"/>
      <c r="I14" s="24"/>
      <c r="J14" s="24"/>
      <c r="K14" s="29">
        <f t="shared" si="1"/>
        <v>0</v>
      </c>
      <c r="L14" s="32"/>
      <c r="M14" s="24"/>
      <c r="N14" s="24"/>
      <c r="O14" s="29">
        <f t="shared" si="2"/>
        <v>0</v>
      </c>
      <c r="Q14" s="12" t="s">
        <v>34</v>
      </c>
      <c r="R14" s="19">
        <v>90</v>
      </c>
      <c r="S14" s="20">
        <v>50</v>
      </c>
    </row>
    <row r="15" spans="1:19" x14ac:dyDescent="0.25">
      <c r="A15" s="32"/>
      <c r="B15" s="38"/>
      <c r="C15" s="42">
        <f t="shared" si="3"/>
        <v>0</v>
      </c>
      <c r="D15" s="32"/>
      <c r="E15" s="24"/>
      <c r="F15" s="24"/>
      <c r="G15" s="29">
        <f t="shared" si="0"/>
        <v>0</v>
      </c>
      <c r="H15" s="32"/>
      <c r="I15" s="24"/>
      <c r="J15" s="24"/>
      <c r="K15" s="29">
        <f t="shared" si="1"/>
        <v>0</v>
      </c>
      <c r="L15" s="32"/>
      <c r="M15" s="24"/>
      <c r="N15" s="24"/>
      <c r="O15" s="29">
        <f t="shared" si="2"/>
        <v>0</v>
      </c>
      <c r="Q15" s="12" t="s">
        <v>35</v>
      </c>
      <c r="R15" s="19">
        <v>85</v>
      </c>
      <c r="S15" s="20">
        <v>50</v>
      </c>
    </row>
    <row r="16" spans="1:19" x14ac:dyDescent="0.25">
      <c r="A16" s="32"/>
      <c r="B16" s="38"/>
      <c r="C16" s="42">
        <f t="shared" si="3"/>
        <v>0</v>
      </c>
      <c r="D16" s="32"/>
      <c r="E16" s="24"/>
      <c r="F16" s="24"/>
      <c r="G16" s="29">
        <f t="shared" si="0"/>
        <v>0</v>
      </c>
      <c r="H16" s="32"/>
      <c r="I16" s="24"/>
      <c r="J16" s="24"/>
      <c r="K16" s="29">
        <f t="shared" si="1"/>
        <v>0</v>
      </c>
      <c r="L16" s="32"/>
      <c r="M16" s="24"/>
      <c r="N16" s="24"/>
      <c r="O16" s="29">
        <f t="shared" si="2"/>
        <v>0</v>
      </c>
      <c r="Q16" s="12" t="s">
        <v>36</v>
      </c>
      <c r="R16" s="19">
        <v>80</v>
      </c>
      <c r="S16" s="20">
        <v>50</v>
      </c>
    </row>
    <row r="17" spans="1:19" x14ac:dyDescent="0.25">
      <c r="A17" s="32"/>
      <c r="B17" s="38"/>
      <c r="C17" s="42">
        <f t="shared" si="3"/>
        <v>0</v>
      </c>
      <c r="D17" s="32"/>
      <c r="E17" s="24"/>
      <c r="F17" s="24"/>
      <c r="G17" s="29">
        <f t="shared" si="0"/>
        <v>0</v>
      </c>
      <c r="H17" s="32"/>
      <c r="I17" s="24"/>
      <c r="J17" s="24"/>
      <c r="K17" s="29">
        <f t="shared" si="1"/>
        <v>0</v>
      </c>
      <c r="L17" s="32"/>
      <c r="M17" s="24"/>
      <c r="N17" s="24"/>
      <c r="O17" s="29">
        <f t="shared" si="2"/>
        <v>0</v>
      </c>
      <c r="Q17" s="12" t="s">
        <v>37</v>
      </c>
      <c r="R17" s="19">
        <v>75</v>
      </c>
      <c r="S17" s="20">
        <v>50</v>
      </c>
    </row>
    <row r="18" spans="1:19" x14ac:dyDescent="0.25">
      <c r="A18" s="32"/>
      <c r="B18" s="38"/>
      <c r="C18" s="42">
        <f t="shared" si="3"/>
        <v>0</v>
      </c>
      <c r="D18" s="32"/>
      <c r="E18" s="24"/>
      <c r="F18" s="24"/>
      <c r="G18" s="29">
        <f t="shared" si="0"/>
        <v>0</v>
      </c>
      <c r="H18" s="32"/>
      <c r="I18" s="24"/>
      <c r="J18" s="24"/>
      <c r="K18" s="29">
        <f t="shared" si="1"/>
        <v>0</v>
      </c>
      <c r="L18" s="32"/>
      <c r="M18" s="24"/>
      <c r="N18" s="24"/>
      <c r="O18" s="29">
        <f t="shared" si="2"/>
        <v>0</v>
      </c>
      <c r="Q18" s="12" t="s">
        <v>38</v>
      </c>
      <c r="R18" s="19">
        <v>70</v>
      </c>
      <c r="S18" s="20">
        <v>50</v>
      </c>
    </row>
    <row r="19" spans="1:19" x14ac:dyDescent="0.25">
      <c r="A19" s="32"/>
      <c r="B19" s="38"/>
      <c r="C19" s="42">
        <f t="shared" si="3"/>
        <v>0</v>
      </c>
      <c r="D19" s="32"/>
      <c r="E19" s="24"/>
      <c r="F19" s="24"/>
      <c r="G19" s="29">
        <f t="shared" si="0"/>
        <v>0</v>
      </c>
      <c r="H19" s="32"/>
      <c r="I19" s="24"/>
      <c r="J19" s="24"/>
      <c r="K19" s="29">
        <f t="shared" si="1"/>
        <v>0</v>
      </c>
      <c r="L19" s="32"/>
      <c r="M19" s="24"/>
      <c r="N19" s="24"/>
      <c r="O19" s="29">
        <f t="shared" si="2"/>
        <v>0</v>
      </c>
      <c r="Q19" s="12" t="s">
        <v>39</v>
      </c>
      <c r="R19" s="19">
        <v>65</v>
      </c>
      <c r="S19" s="20">
        <v>25</v>
      </c>
    </row>
    <row r="20" spans="1:19" x14ac:dyDescent="0.25">
      <c r="A20" s="32"/>
      <c r="B20" s="38"/>
      <c r="C20" s="42">
        <f t="shared" si="3"/>
        <v>0</v>
      </c>
      <c r="D20" s="32"/>
      <c r="E20" s="24"/>
      <c r="F20" s="24"/>
      <c r="G20" s="29">
        <f t="shared" si="0"/>
        <v>0</v>
      </c>
      <c r="H20" s="32"/>
      <c r="I20" s="24"/>
      <c r="J20" s="24"/>
      <c r="K20" s="29">
        <f t="shared" si="1"/>
        <v>0</v>
      </c>
      <c r="L20" s="32"/>
      <c r="M20" s="24"/>
      <c r="N20" s="24"/>
      <c r="O20" s="29">
        <f t="shared" si="2"/>
        <v>0</v>
      </c>
      <c r="Q20" s="12" t="s">
        <v>40</v>
      </c>
      <c r="R20" s="19">
        <v>60</v>
      </c>
      <c r="S20" s="20">
        <v>25</v>
      </c>
    </row>
    <row r="21" spans="1:19" x14ac:dyDescent="0.25">
      <c r="A21" s="32"/>
      <c r="B21" s="38"/>
      <c r="C21" s="42">
        <f t="shared" si="3"/>
        <v>0</v>
      </c>
      <c r="D21" s="32"/>
      <c r="E21" s="24"/>
      <c r="F21" s="24"/>
      <c r="G21" s="29">
        <f t="shared" si="0"/>
        <v>0</v>
      </c>
      <c r="H21" s="32"/>
      <c r="I21" s="24"/>
      <c r="J21" s="24"/>
      <c r="K21" s="29">
        <f t="shared" si="1"/>
        <v>0</v>
      </c>
      <c r="L21" s="32"/>
      <c r="M21" s="24"/>
      <c r="N21" s="24"/>
      <c r="O21" s="29">
        <f t="shared" si="2"/>
        <v>0</v>
      </c>
      <c r="Q21" s="12" t="s">
        <v>41</v>
      </c>
      <c r="R21" s="19">
        <v>55</v>
      </c>
      <c r="S21" s="20">
        <v>25</v>
      </c>
    </row>
    <row r="22" spans="1:19" ht="15.75" thickBot="1" x14ac:dyDescent="0.3">
      <c r="A22" s="32"/>
      <c r="B22" s="38"/>
      <c r="C22" s="42">
        <f t="shared" si="3"/>
        <v>0</v>
      </c>
      <c r="D22" s="32"/>
      <c r="E22" s="24"/>
      <c r="F22" s="24"/>
      <c r="G22" s="29">
        <f t="shared" si="0"/>
        <v>0</v>
      </c>
      <c r="H22" s="32"/>
      <c r="I22" s="24"/>
      <c r="J22" s="24"/>
      <c r="K22" s="29">
        <f t="shared" si="1"/>
        <v>0</v>
      </c>
      <c r="L22" s="32"/>
      <c r="M22" s="24"/>
      <c r="N22" s="24"/>
      <c r="O22" s="29">
        <f t="shared" si="2"/>
        <v>0</v>
      </c>
      <c r="Q22" s="14" t="s">
        <v>42</v>
      </c>
      <c r="R22" s="60">
        <v>50</v>
      </c>
      <c r="S22" s="61">
        <v>25</v>
      </c>
    </row>
    <row r="23" spans="1:19" ht="15.75" thickBot="1" x14ac:dyDescent="0.3">
      <c r="A23" s="33"/>
      <c r="B23" s="39"/>
      <c r="C23" s="43">
        <f t="shared" si="3"/>
        <v>0</v>
      </c>
      <c r="D23" s="33"/>
      <c r="E23" s="34"/>
      <c r="F23" s="34"/>
      <c r="G23" s="29">
        <f t="shared" si="0"/>
        <v>0</v>
      </c>
      <c r="H23" s="33"/>
      <c r="I23" s="34"/>
      <c r="J23" s="34"/>
      <c r="K23" s="29">
        <f t="shared" si="1"/>
        <v>0</v>
      </c>
      <c r="L23" s="33"/>
      <c r="M23" s="34"/>
      <c r="N23" s="34"/>
      <c r="O23" s="29">
        <f t="shared" si="2"/>
        <v>0</v>
      </c>
      <c r="R23" s="62">
        <v>45</v>
      </c>
      <c r="S23" s="63">
        <v>25</v>
      </c>
    </row>
    <row r="24" spans="1:19" x14ac:dyDescent="0.25">
      <c r="R24" s="64">
        <v>40</v>
      </c>
      <c r="S24" s="65">
        <v>25</v>
      </c>
    </row>
    <row r="25" spans="1:19" x14ac:dyDescent="0.25">
      <c r="R25" s="64">
        <v>35</v>
      </c>
      <c r="S25" s="65">
        <v>25</v>
      </c>
    </row>
    <row r="26" spans="1:19" x14ac:dyDescent="0.25">
      <c r="R26" s="64">
        <v>30</v>
      </c>
      <c r="S26" s="65">
        <v>25</v>
      </c>
    </row>
    <row r="27" spans="1:19" ht="15.75" thickBot="1" x14ac:dyDescent="0.3">
      <c r="R27" s="66">
        <v>0</v>
      </c>
      <c r="S27" s="67">
        <v>0</v>
      </c>
    </row>
  </sheetData>
  <sheetProtection algorithmName="SHA-512" hashValue="phDst6Veo98kTz2mq/7kmCsQ+MaYBtOzc+wdSOCAemuVPQxdV/NlM8DCes4q5CPWYwH60RfNljSP8xt3XeBzIQ==" saltValue="Or8kVSjZevPjpFFQFmEsTQ==" spinCount="100000" sheet="1" objects="1" scenarios="1"/>
  <mergeCells count="3">
    <mergeCell ref="D2:G2"/>
    <mergeCell ref="H2:K2"/>
    <mergeCell ref="L2:O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autoLine="0" autoPict="0">
                <anchor mov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27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7" style="3" bestFit="1" customWidth="1"/>
    <col min="7" max="7" width="7.5703125" style="3" bestFit="1" customWidth="1"/>
    <col min="8" max="9" width="4.7109375" style="3" customWidth="1"/>
    <col min="10" max="10" width="7" style="3" bestFit="1" customWidth="1"/>
    <col min="11" max="11" width="7.5703125" style="3" bestFit="1" customWidth="1"/>
    <col min="12" max="13" width="4.7109375" style="3" customWidth="1"/>
    <col min="14" max="14" width="7" style="3" bestFit="1" customWidth="1"/>
    <col min="15" max="15" width="7.5703125" style="3" bestFit="1" customWidth="1"/>
    <col min="16" max="17" width="4.7109375" style="3" customWidth="1"/>
    <col min="18" max="18" width="7" style="3" bestFit="1" customWidth="1"/>
    <col min="19" max="20" width="9" style="3"/>
    <col min="21" max="21" width="7.5703125" style="3" bestFit="1" customWidth="1"/>
    <col min="22" max="22" width="7.42578125" style="3" bestFit="1" customWidth="1"/>
    <col min="23" max="23" width="11.7109375" style="3" bestFit="1" customWidth="1"/>
    <col min="24" max="16384" width="9" style="3"/>
  </cols>
  <sheetData>
    <row r="1" spans="1:23" ht="15.75" thickBot="1" x14ac:dyDescent="0.3">
      <c r="A1" s="3" t="s">
        <v>19</v>
      </c>
      <c r="U1" s="4">
        <v>1</v>
      </c>
      <c r="W1" s="3" t="s">
        <v>32</v>
      </c>
    </row>
    <row r="2" spans="1:23" ht="15.75" thickBot="1" x14ac:dyDescent="0.3">
      <c r="A2" s="7" t="s">
        <v>44</v>
      </c>
      <c r="B2" s="70"/>
      <c r="D2" s="71" t="s">
        <v>26</v>
      </c>
      <c r="E2" s="72"/>
      <c r="F2" s="72"/>
      <c r="G2" s="73"/>
      <c r="H2" s="71" t="s">
        <v>27</v>
      </c>
      <c r="I2" s="72"/>
      <c r="J2" s="72"/>
      <c r="K2" s="73"/>
      <c r="L2" s="71" t="s">
        <v>28</v>
      </c>
      <c r="M2" s="72"/>
      <c r="N2" s="72"/>
      <c r="O2" s="73"/>
      <c r="P2" s="71" t="s">
        <v>43</v>
      </c>
      <c r="Q2" s="72"/>
      <c r="R2" s="72"/>
      <c r="S2" s="73"/>
      <c r="W2" s="3" t="s">
        <v>29</v>
      </c>
    </row>
    <row r="3" spans="1:23" ht="15.75" thickBot="1" x14ac:dyDescent="0.3">
      <c r="A3" s="68" t="s">
        <v>0</v>
      </c>
      <c r="B3" s="69" t="s">
        <v>1</v>
      </c>
      <c r="C3" s="40" t="s">
        <v>4</v>
      </c>
      <c r="D3" s="7" t="s">
        <v>9</v>
      </c>
      <c r="E3" s="8" t="s">
        <v>10</v>
      </c>
      <c r="F3" s="8" t="s">
        <v>3</v>
      </c>
      <c r="G3" s="9" t="s">
        <v>5</v>
      </c>
      <c r="H3" s="7" t="s">
        <v>9</v>
      </c>
      <c r="I3" s="8" t="s">
        <v>10</v>
      </c>
      <c r="J3" s="8" t="s">
        <v>3</v>
      </c>
      <c r="K3" s="9" t="s">
        <v>7</v>
      </c>
      <c r="L3" s="7" t="s">
        <v>2</v>
      </c>
      <c r="M3" s="8" t="s">
        <v>10</v>
      </c>
      <c r="N3" s="8" t="s">
        <v>3</v>
      </c>
      <c r="O3" s="9" t="s">
        <v>6</v>
      </c>
      <c r="P3" s="7" t="s">
        <v>2</v>
      </c>
      <c r="Q3" s="8" t="s">
        <v>10</v>
      </c>
      <c r="R3" s="8" t="s">
        <v>3</v>
      </c>
      <c r="S3" s="9" t="s">
        <v>20</v>
      </c>
      <c r="U3" s="7" t="s">
        <v>33</v>
      </c>
      <c r="V3" s="8" t="s">
        <v>32</v>
      </c>
      <c r="W3" s="9" t="s">
        <v>29</v>
      </c>
    </row>
    <row r="4" spans="1:23" x14ac:dyDescent="0.25">
      <c r="A4" s="32"/>
      <c r="B4" s="38"/>
      <c r="C4" s="41">
        <f>G4+K4+O4+S4</f>
        <v>0</v>
      </c>
      <c r="D4" s="28"/>
      <c r="E4" s="26"/>
      <c r="F4" s="25"/>
      <c r="G4" s="29">
        <f>600-ABS(600-(D4*60+E4))+MIN(50,IF($U$1=2,VLOOKUP(F4,$W$4:$W$27,1,FALSE),VLOOKUP(F4,$V$4:$W$27,2,FALSE)))</f>
        <v>0</v>
      </c>
      <c r="H4" s="28"/>
      <c r="I4" s="26"/>
      <c r="J4" s="25"/>
      <c r="K4" s="29">
        <f>600-ABS(600-(H4*60+I4))+MIN(50,IF($U$1=2,VLOOKUP(J4,$W$4:$W$27,1,FALSE),VLOOKUP(J4,$V$4:$W$27,2,FALSE)))</f>
        <v>0</v>
      </c>
      <c r="L4" s="28"/>
      <c r="M4" s="26"/>
      <c r="N4" s="26"/>
      <c r="O4" s="29">
        <f>600-ABS(600-(L4*60+M4))+MIN(50,IF($U$1=2,VLOOKUP(N4,$W$4:$W$27,1,FALSE),VLOOKUP(N4,$V$4:$W$27,2,FALSE)))</f>
        <v>0</v>
      </c>
      <c r="P4" s="28"/>
      <c r="Q4" s="26"/>
      <c r="R4" s="26"/>
      <c r="S4" s="29">
        <f>600-ABS(600-(P4*60+Q4))+MIN(50,IF($U$1=2,VLOOKUP(R4,$W$4:$W$27,1,FALSE),VLOOKUP(R4,$V$4:$W$27,2,FALSE)))</f>
        <v>0</v>
      </c>
      <c r="U4" s="10" t="s">
        <v>30</v>
      </c>
      <c r="V4" s="17">
        <v>100</v>
      </c>
      <c r="W4" s="18">
        <v>50</v>
      </c>
    </row>
    <row r="5" spans="1:23" x14ac:dyDescent="0.25">
      <c r="A5" s="36"/>
      <c r="B5" s="37"/>
      <c r="C5" s="42">
        <f t="shared" ref="C5:C23" si="0">G5+K5+O5+S5</f>
        <v>0</v>
      </c>
      <c r="D5" s="30"/>
      <c r="E5" s="23"/>
      <c r="F5" s="24"/>
      <c r="G5" s="29">
        <f t="shared" ref="G5:G23" si="1">600-ABS(600-(D5*60+E5))+MIN(50,IF($U$1=2,VLOOKUP(F5,$W$4:$W$27,1,FALSE),VLOOKUP(F5,$V$4:$W$27,2,FALSE)))</f>
        <v>0</v>
      </c>
      <c r="H5" s="30"/>
      <c r="I5" s="23"/>
      <c r="J5" s="24"/>
      <c r="K5" s="29">
        <f t="shared" ref="K5:K23" si="2">600-ABS(600-(H5*60+I5))+MIN(50,IF($U$1=2,VLOOKUP(J5,$W$4:$W$27,1,FALSE),VLOOKUP(J5,$V$4:$W$27,2,FALSE)))</f>
        <v>0</v>
      </c>
      <c r="L5" s="30"/>
      <c r="M5" s="23"/>
      <c r="N5" s="23"/>
      <c r="O5" s="29">
        <f t="shared" ref="O5:O23" si="3">600-ABS(600-(L5*60+M5))+MIN(50,IF($U$1=2,VLOOKUP(N5,$W$4:$W$27,1,FALSE),VLOOKUP(N5,$V$4:$W$27,2,FALSE)))</f>
        <v>0</v>
      </c>
      <c r="P5" s="30"/>
      <c r="Q5" s="23"/>
      <c r="R5" s="23"/>
      <c r="S5" s="29">
        <f t="shared" ref="S5:S23" si="4">600-ABS(600-(P5*60+Q5))+MIN(50,IF($U$1=2,VLOOKUP(R5,$W$4:$W$27,1,FALSE),VLOOKUP(R5,$V$4:$W$27,2,FALSE)))</f>
        <v>0</v>
      </c>
      <c r="U5" s="12"/>
      <c r="V5" s="19">
        <v>99</v>
      </c>
      <c r="W5" s="20">
        <v>50</v>
      </c>
    </row>
    <row r="6" spans="1:23" x14ac:dyDescent="0.25">
      <c r="A6" s="32"/>
      <c r="B6" s="38"/>
      <c r="C6" s="42">
        <f t="shared" si="0"/>
        <v>0</v>
      </c>
      <c r="D6" s="30"/>
      <c r="E6" s="23"/>
      <c r="F6" s="24"/>
      <c r="G6" s="29">
        <f t="shared" si="1"/>
        <v>0</v>
      </c>
      <c r="H6" s="30"/>
      <c r="I6" s="23"/>
      <c r="J6" s="24"/>
      <c r="K6" s="29">
        <f t="shared" si="2"/>
        <v>0</v>
      </c>
      <c r="L6" s="30"/>
      <c r="M6" s="23"/>
      <c r="N6" s="23"/>
      <c r="O6" s="29">
        <f t="shared" si="3"/>
        <v>0</v>
      </c>
      <c r="P6" s="30"/>
      <c r="Q6" s="23"/>
      <c r="R6" s="23"/>
      <c r="S6" s="29">
        <f t="shared" si="4"/>
        <v>0</v>
      </c>
      <c r="U6" s="12"/>
      <c r="V6" s="19">
        <v>98</v>
      </c>
      <c r="W6" s="20">
        <v>50</v>
      </c>
    </row>
    <row r="7" spans="1:23" x14ac:dyDescent="0.25">
      <c r="A7" s="32"/>
      <c r="B7" s="38"/>
      <c r="C7" s="42">
        <f t="shared" si="0"/>
        <v>0</v>
      </c>
      <c r="D7" s="32"/>
      <c r="E7" s="24"/>
      <c r="F7" s="24"/>
      <c r="G7" s="29">
        <f t="shared" si="1"/>
        <v>0</v>
      </c>
      <c r="H7" s="32"/>
      <c r="I7" s="24"/>
      <c r="J7" s="24"/>
      <c r="K7" s="29">
        <f t="shared" si="2"/>
        <v>0</v>
      </c>
      <c r="L7" s="32"/>
      <c r="M7" s="24"/>
      <c r="N7" s="24"/>
      <c r="O7" s="29">
        <f t="shared" si="3"/>
        <v>0</v>
      </c>
      <c r="P7" s="32"/>
      <c r="Q7" s="24"/>
      <c r="R7" s="24"/>
      <c r="S7" s="29">
        <f t="shared" si="4"/>
        <v>0</v>
      </c>
      <c r="U7" s="12"/>
      <c r="V7" s="19">
        <v>97</v>
      </c>
      <c r="W7" s="20">
        <v>50</v>
      </c>
    </row>
    <row r="8" spans="1:23" x14ac:dyDescent="0.25">
      <c r="A8" s="32"/>
      <c r="B8" s="38"/>
      <c r="C8" s="42">
        <f t="shared" si="0"/>
        <v>0</v>
      </c>
      <c r="D8" s="32"/>
      <c r="E8" s="24"/>
      <c r="F8" s="24"/>
      <c r="G8" s="29">
        <f t="shared" si="1"/>
        <v>0</v>
      </c>
      <c r="H8" s="32"/>
      <c r="I8" s="24"/>
      <c r="J8" s="24"/>
      <c r="K8" s="29">
        <f t="shared" si="2"/>
        <v>0</v>
      </c>
      <c r="L8" s="32"/>
      <c r="M8" s="24"/>
      <c r="N8" s="24"/>
      <c r="O8" s="29">
        <f t="shared" si="3"/>
        <v>0</v>
      </c>
      <c r="P8" s="32"/>
      <c r="Q8" s="24"/>
      <c r="R8" s="24"/>
      <c r="S8" s="29">
        <f t="shared" si="4"/>
        <v>0</v>
      </c>
      <c r="U8" s="12"/>
      <c r="V8" s="19">
        <v>96</v>
      </c>
      <c r="W8" s="20">
        <v>50</v>
      </c>
    </row>
    <row r="9" spans="1:23" x14ac:dyDescent="0.25">
      <c r="A9" s="32"/>
      <c r="B9" s="38"/>
      <c r="C9" s="42">
        <f t="shared" si="0"/>
        <v>0</v>
      </c>
      <c r="D9" s="32"/>
      <c r="E9" s="24"/>
      <c r="F9" s="24"/>
      <c r="G9" s="29">
        <f t="shared" si="1"/>
        <v>0</v>
      </c>
      <c r="H9" s="32"/>
      <c r="I9" s="24"/>
      <c r="J9" s="24"/>
      <c r="K9" s="29">
        <f t="shared" si="2"/>
        <v>0</v>
      </c>
      <c r="L9" s="32"/>
      <c r="M9" s="24"/>
      <c r="N9" s="24"/>
      <c r="O9" s="29">
        <f t="shared" si="3"/>
        <v>0</v>
      </c>
      <c r="P9" s="32"/>
      <c r="Q9" s="24"/>
      <c r="R9" s="24"/>
      <c r="S9" s="29">
        <f t="shared" si="4"/>
        <v>0</v>
      </c>
      <c r="U9" s="12" t="s">
        <v>31</v>
      </c>
      <c r="V9" s="19">
        <v>95</v>
      </c>
      <c r="W9" s="20">
        <v>45</v>
      </c>
    </row>
    <row r="10" spans="1:23" x14ac:dyDescent="0.25">
      <c r="A10" s="32"/>
      <c r="B10" s="38"/>
      <c r="C10" s="42">
        <f t="shared" si="0"/>
        <v>0</v>
      </c>
      <c r="D10" s="32"/>
      <c r="E10" s="24"/>
      <c r="F10" s="24"/>
      <c r="G10" s="29">
        <f t="shared" si="1"/>
        <v>0</v>
      </c>
      <c r="H10" s="32"/>
      <c r="I10" s="24"/>
      <c r="J10" s="24"/>
      <c r="K10" s="29">
        <f t="shared" si="2"/>
        <v>0</v>
      </c>
      <c r="L10" s="32"/>
      <c r="M10" s="24"/>
      <c r="N10" s="24"/>
      <c r="O10" s="29">
        <f t="shared" si="3"/>
        <v>0</v>
      </c>
      <c r="P10" s="32"/>
      <c r="Q10" s="24"/>
      <c r="R10" s="24"/>
      <c r="S10" s="29">
        <f t="shared" si="4"/>
        <v>0</v>
      </c>
      <c r="U10" s="12"/>
      <c r="V10" s="19">
        <v>94</v>
      </c>
      <c r="W10" s="20">
        <v>45</v>
      </c>
    </row>
    <row r="11" spans="1:23" x14ac:dyDescent="0.25">
      <c r="A11" s="32"/>
      <c r="B11" s="38"/>
      <c r="C11" s="42">
        <f t="shared" si="0"/>
        <v>0</v>
      </c>
      <c r="D11" s="32"/>
      <c r="E11" s="24"/>
      <c r="F11" s="24"/>
      <c r="G11" s="29">
        <f t="shared" si="1"/>
        <v>0</v>
      </c>
      <c r="H11" s="32"/>
      <c r="I11" s="24"/>
      <c r="J11" s="24"/>
      <c r="K11" s="29">
        <f t="shared" si="2"/>
        <v>0</v>
      </c>
      <c r="L11" s="32"/>
      <c r="M11" s="24"/>
      <c r="N11" s="24"/>
      <c r="O11" s="29">
        <f t="shared" si="3"/>
        <v>0</v>
      </c>
      <c r="P11" s="32"/>
      <c r="Q11" s="24"/>
      <c r="R11" s="24"/>
      <c r="S11" s="29">
        <f t="shared" si="4"/>
        <v>0</v>
      </c>
      <c r="U11" s="12"/>
      <c r="V11" s="19">
        <v>93</v>
      </c>
      <c r="W11" s="20">
        <v>45</v>
      </c>
    </row>
    <row r="12" spans="1:23" x14ac:dyDescent="0.25">
      <c r="A12" s="32"/>
      <c r="B12" s="38"/>
      <c r="C12" s="42">
        <f t="shared" si="0"/>
        <v>0</v>
      </c>
      <c r="D12" s="32"/>
      <c r="E12" s="24"/>
      <c r="F12" s="24"/>
      <c r="G12" s="29">
        <f t="shared" si="1"/>
        <v>0</v>
      </c>
      <c r="H12" s="32"/>
      <c r="I12" s="24"/>
      <c r="J12" s="24"/>
      <c r="K12" s="29">
        <f t="shared" si="2"/>
        <v>0</v>
      </c>
      <c r="L12" s="32"/>
      <c r="M12" s="24"/>
      <c r="N12" s="24"/>
      <c r="O12" s="29">
        <f t="shared" si="3"/>
        <v>0</v>
      </c>
      <c r="P12" s="32"/>
      <c r="Q12" s="24"/>
      <c r="R12" s="24"/>
      <c r="S12" s="29">
        <f t="shared" si="4"/>
        <v>0</v>
      </c>
      <c r="U12" s="12"/>
      <c r="V12" s="19">
        <v>92</v>
      </c>
      <c r="W12" s="20">
        <v>45</v>
      </c>
    </row>
    <row r="13" spans="1:23" x14ac:dyDescent="0.25">
      <c r="A13" s="32"/>
      <c r="B13" s="38"/>
      <c r="C13" s="42">
        <f t="shared" si="0"/>
        <v>0</v>
      </c>
      <c r="D13" s="32"/>
      <c r="E13" s="24"/>
      <c r="F13" s="24"/>
      <c r="G13" s="29">
        <f t="shared" si="1"/>
        <v>0</v>
      </c>
      <c r="H13" s="32"/>
      <c r="I13" s="24"/>
      <c r="J13" s="24"/>
      <c r="K13" s="29">
        <f t="shared" si="2"/>
        <v>0</v>
      </c>
      <c r="L13" s="32"/>
      <c r="M13" s="24"/>
      <c r="N13" s="24"/>
      <c r="O13" s="29">
        <f t="shared" si="3"/>
        <v>0</v>
      </c>
      <c r="P13" s="32"/>
      <c r="Q13" s="24"/>
      <c r="R13" s="24"/>
      <c r="S13" s="29">
        <f t="shared" si="4"/>
        <v>0</v>
      </c>
      <c r="U13" s="12"/>
      <c r="V13" s="19">
        <v>91</v>
      </c>
      <c r="W13" s="20">
        <v>45</v>
      </c>
    </row>
    <row r="14" spans="1:23" x14ac:dyDescent="0.25">
      <c r="A14" s="32"/>
      <c r="B14" s="38"/>
      <c r="C14" s="42">
        <f t="shared" si="0"/>
        <v>0</v>
      </c>
      <c r="D14" s="32"/>
      <c r="E14" s="24"/>
      <c r="F14" s="24"/>
      <c r="G14" s="29">
        <f t="shared" si="1"/>
        <v>0</v>
      </c>
      <c r="H14" s="32"/>
      <c r="I14" s="24"/>
      <c r="J14" s="24"/>
      <c r="K14" s="29">
        <f t="shared" si="2"/>
        <v>0</v>
      </c>
      <c r="L14" s="32"/>
      <c r="M14" s="24"/>
      <c r="N14" s="24"/>
      <c r="O14" s="29">
        <f t="shared" si="3"/>
        <v>0</v>
      </c>
      <c r="P14" s="32"/>
      <c r="Q14" s="24"/>
      <c r="R14" s="24"/>
      <c r="S14" s="29">
        <f t="shared" si="4"/>
        <v>0</v>
      </c>
      <c r="U14" s="12" t="s">
        <v>34</v>
      </c>
      <c r="V14" s="19">
        <v>90</v>
      </c>
      <c r="W14" s="20">
        <v>40</v>
      </c>
    </row>
    <row r="15" spans="1:23" x14ac:dyDescent="0.25">
      <c r="A15" s="32"/>
      <c r="B15" s="38"/>
      <c r="C15" s="42">
        <f t="shared" si="0"/>
        <v>0</v>
      </c>
      <c r="D15" s="32"/>
      <c r="E15" s="24"/>
      <c r="F15" s="24"/>
      <c r="G15" s="29">
        <f t="shared" si="1"/>
        <v>0</v>
      </c>
      <c r="H15" s="32"/>
      <c r="I15" s="24"/>
      <c r="J15" s="24"/>
      <c r="K15" s="29">
        <f t="shared" si="2"/>
        <v>0</v>
      </c>
      <c r="L15" s="32"/>
      <c r="M15" s="24"/>
      <c r="N15" s="24"/>
      <c r="O15" s="29">
        <f t="shared" si="3"/>
        <v>0</v>
      </c>
      <c r="P15" s="32"/>
      <c r="Q15" s="24"/>
      <c r="R15" s="24"/>
      <c r="S15" s="29">
        <f t="shared" si="4"/>
        <v>0</v>
      </c>
      <c r="U15" s="12" t="s">
        <v>35</v>
      </c>
      <c r="V15" s="19">
        <v>85</v>
      </c>
      <c r="W15" s="20">
        <v>35</v>
      </c>
    </row>
    <row r="16" spans="1:23" x14ac:dyDescent="0.25">
      <c r="A16" s="32"/>
      <c r="B16" s="38"/>
      <c r="C16" s="42">
        <f t="shared" si="0"/>
        <v>0</v>
      </c>
      <c r="D16" s="32"/>
      <c r="E16" s="24"/>
      <c r="F16" s="24"/>
      <c r="G16" s="29">
        <f t="shared" si="1"/>
        <v>0</v>
      </c>
      <c r="H16" s="32"/>
      <c r="I16" s="24"/>
      <c r="J16" s="24"/>
      <c r="K16" s="29">
        <f t="shared" si="2"/>
        <v>0</v>
      </c>
      <c r="L16" s="32"/>
      <c r="M16" s="24"/>
      <c r="N16" s="24"/>
      <c r="O16" s="29">
        <f t="shared" si="3"/>
        <v>0</v>
      </c>
      <c r="P16" s="32"/>
      <c r="Q16" s="24"/>
      <c r="R16" s="24"/>
      <c r="S16" s="29">
        <f t="shared" si="4"/>
        <v>0</v>
      </c>
      <c r="U16" s="12" t="s">
        <v>36</v>
      </c>
      <c r="V16" s="19">
        <v>80</v>
      </c>
      <c r="W16" s="20">
        <v>30</v>
      </c>
    </row>
    <row r="17" spans="1:23" x14ac:dyDescent="0.25">
      <c r="A17" s="32"/>
      <c r="B17" s="38"/>
      <c r="C17" s="42">
        <f t="shared" si="0"/>
        <v>0</v>
      </c>
      <c r="D17" s="32"/>
      <c r="E17" s="24"/>
      <c r="F17" s="24"/>
      <c r="G17" s="29">
        <f t="shared" si="1"/>
        <v>0</v>
      </c>
      <c r="H17" s="32"/>
      <c r="I17" s="24"/>
      <c r="J17" s="24"/>
      <c r="K17" s="29">
        <f t="shared" si="2"/>
        <v>0</v>
      </c>
      <c r="L17" s="32"/>
      <c r="M17" s="24"/>
      <c r="N17" s="24"/>
      <c r="O17" s="29">
        <f t="shared" si="3"/>
        <v>0</v>
      </c>
      <c r="P17" s="32"/>
      <c r="Q17" s="24"/>
      <c r="R17" s="24"/>
      <c r="S17" s="29">
        <f t="shared" si="4"/>
        <v>0</v>
      </c>
      <c r="U17" s="12" t="s">
        <v>37</v>
      </c>
      <c r="V17" s="19">
        <v>75</v>
      </c>
      <c r="W17" s="20">
        <v>25</v>
      </c>
    </row>
    <row r="18" spans="1:23" x14ac:dyDescent="0.25">
      <c r="A18" s="32"/>
      <c r="B18" s="38"/>
      <c r="C18" s="42">
        <f t="shared" si="0"/>
        <v>0</v>
      </c>
      <c r="D18" s="32"/>
      <c r="E18" s="24"/>
      <c r="F18" s="24"/>
      <c r="G18" s="29">
        <f t="shared" si="1"/>
        <v>0</v>
      </c>
      <c r="H18" s="32"/>
      <c r="I18" s="24"/>
      <c r="J18" s="24"/>
      <c r="K18" s="29">
        <f t="shared" si="2"/>
        <v>0</v>
      </c>
      <c r="L18" s="32"/>
      <c r="M18" s="24"/>
      <c r="N18" s="24"/>
      <c r="O18" s="29">
        <f t="shared" si="3"/>
        <v>0</v>
      </c>
      <c r="P18" s="32"/>
      <c r="Q18" s="24"/>
      <c r="R18" s="24"/>
      <c r="S18" s="29">
        <f t="shared" si="4"/>
        <v>0</v>
      </c>
      <c r="U18" s="12" t="s">
        <v>38</v>
      </c>
      <c r="V18" s="19">
        <v>70</v>
      </c>
      <c r="W18" s="20">
        <v>20</v>
      </c>
    </row>
    <row r="19" spans="1:23" x14ac:dyDescent="0.25">
      <c r="A19" s="32"/>
      <c r="B19" s="38"/>
      <c r="C19" s="42">
        <f t="shared" si="0"/>
        <v>0</v>
      </c>
      <c r="D19" s="32"/>
      <c r="E19" s="24"/>
      <c r="F19" s="24"/>
      <c r="G19" s="29">
        <f t="shared" si="1"/>
        <v>0</v>
      </c>
      <c r="H19" s="32"/>
      <c r="I19" s="24"/>
      <c r="J19" s="24"/>
      <c r="K19" s="29">
        <f t="shared" si="2"/>
        <v>0</v>
      </c>
      <c r="L19" s="32"/>
      <c r="M19" s="24"/>
      <c r="N19" s="24"/>
      <c r="O19" s="29">
        <f t="shared" si="3"/>
        <v>0</v>
      </c>
      <c r="P19" s="32"/>
      <c r="Q19" s="24"/>
      <c r="R19" s="24"/>
      <c r="S19" s="29">
        <f t="shared" si="4"/>
        <v>0</v>
      </c>
      <c r="U19" s="12" t="s">
        <v>39</v>
      </c>
      <c r="V19" s="19">
        <v>65</v>
      </c>
      <c r="W19" s="20">
        <v>15</v>
      </c>
    </row>
    <row r="20" spans="1:23" x14ac:dyDescent="0.25">
      <c r="A20" s="32"/>
      <c r="B20" s="38"/>
      <c r="C20" s="42">
        <f t="shared" si="0"/>
        <v>0</v>
      </c>
      <c r="D20" s="32"/>
      <c r="E20" s="24"/>
      <c r="F20" s="24"/>
      <c r="G20" s="29">
        <f t="shared" si="1"/>
        <v>0</v>
      </c>
      <c r="H20" s="32"/>
      <c r="I20" s="24"/>
      <c r="J20" s="24"/>
      <c r="K20" s="29">
        <f t="shared" si="2"/>
        <v>0</v>
      </c>
      <c r="L20" s="32"/>
      <c r="M20" s="24"/>
      <c r="N20" s="24"/>
      <c r="O20" s="29">
        <f t="shared" si="3"/>
        <v>0</v>
      </c>
      <c r="P20" s="32"/>
      <c r="Q20" s="24"/>
      <c r="R20" s="24"/>
      <c r="S20" s="29">
        <f t="shared" si="4"/>
        <v>0</v>
      </c>
      <c r="U20" s="12" t="s">
        <v>40</v>
      </c>
      <c r="V20" s="19">
        <v>60</v>
      </c>
      <c r="W20" s="20">
        <v>10</v>
      </c>
    </row>
    <row r="21" spans="1:23" x14ac:dyDescent="0.25">
      <c r="A21" s="32"/>
      <c r="B21" s="38"/>
      <c r="C21" s="42">
        <f t="shared" si="0"/>
        <v>0</v>
      </c>
      <c r="D21" s="32"/>
      <c r="E21" s="24"/>
      <c r="F21" s="24"/>
      <c r="G21" s="29">
        <f t="shared" si="1"/>
        <v>0</v>
      </c>
      <c r="H21" s="32"/>
      <c r="I21" s="24"/>
      <c r="J21" s="24"/>
      <c r="K21" s="29">
        <f t="shared" si="2"/>
        <v>0</v>
      </c>
      <c r="L21" s="32"/>
      <c r="M21" s="24"/>
      <c r="N21" s="24"/>
      <c r="O21" s="29">
        <f t="shared" si="3"/>
        <v>0</v>
      </c>
      <c r="P21" s="32"/>
      <c r="Q21" s="24"/>
      <c r="R21" s="24"/>
      <c r="S21" s="29">
        <f t="shared" si="4"/>
        <v>0</v>
      </c>
      <c r="U21" s="12" t="s">
        <v>41</v>
      </c>
      <c r="V21" s="19">
        <v>55</v>
      </c>
      <c r="W21" s="20">
        <v>5</v>
      </c>
    </row>
    <row r="22" spans="1:23" ht="15.75" thickBot="1" x14ac:dyDescent="0.3">
      <c r="A22" s="32"/>
      <c r="B22" s="38"/>
      <c r="C22" s="42">
        <f t="shared" si="0"/>
        <v>0</v>
      </c>
      <c r="D22" s="32"/>
      <c r="E22" s="24"/>
      <c r="F22" s="24"/>
      <c r="G22" s="29">
        <f t="shared" si="1"/>
        <v>0</v>
      </c>
      <c r="H22" s="32"/>
      <c r="I22" s="24"/>
      <c r="J22" s="24"/>
      <c r="K22" s="29">
        <f t="shared" si="2"/>
        <v>0</v>
      </c>
      <c r="L22" s="32"/>
      <c r="M22" s="24"/>
      <c r="N22" s="24"/>
      <c r="O22" s="29">
        <f t="shared" si="3"/>
        <v>0</v>
      </c>
      <c r="P22" s="32"/>
      <c r="Q22" s="24"/>
      <c r="R22" s="24"/>
      <c r="S22" s="29">
        <f t="shared" si="4"/>
        <v>0</v>
      </c>
      <c r="U22" s="14" t="s">
        <v>42</v>
      </c>
      <c r="V22" s="60">
        <v>50</v>
      </c>
      <c r="W22" s="61">
        <v>0</v>
      </c>
    </row>
    <row r="23" spans="1:23" ht="15.75" thickBot="1" x14ac:dyDescent="0.3">
      <c r="A23" s="33"/>
      <c r="B23" s="39"/>
      <c r="C23" s="43">
        <f t="shared" si="0"/>
        <v>0</v>
      </c>
      <c r="D23" s="33"/>
      <c r="E23" s="34"/>
      <c r="F23" s="34"/>
      <c r="G23" s="29">
        <f t="shared" si="1"/>
        <v>0</v>
      </c>
      <c r="H23" s="33"/>
      <c r="I23" s="34"/>
      <c r="J23" s="34"/>
      <c r="K23" s="29">
        <f t="shared" si="2"/>
        <v>0</v>
      </c>
      <c r="L23" s="33"/>
      <c r="M23" s="34"/>
      <c r="N23" s="34"/>
      <c r="O23" s="29">
        <f t="shared" si="3"/>
        <v>0</v>
      </c>
      <c r="P23" s="33"/>
      <c r="Q23" s="34"/>
      <c r="R23" s="34"/>
      <c r="S23" s="29">
        <f t="shared" si="4"/>
        <v>0</v>
      </c>
      <c r="V23" s="62">
        <v>45</v>
      </c>
      <c r="W23" s="63">
        <v>0</v>
      </c>
    </row>
    <row r="24" spans="1:23" x14ac:dyDescent="0.25">
      <c r="V24" s="64">
        <v>40</v>
      </c>
      <c r="W24" s="65">
        <v>0</v>
      </c>
    </row>
    <row r="25" spans="1:23" x14ac:dyDescent="0.25">
      <c r="V25" s="64">
        <v>35</v>
      </c>
      <c r="W25" s="65">
        <v>0</v>
      </c>
    </row>
    <row r="26" spans="1:23" x14ac:dyDescent="0.25">
      <c r="V26" s="64">
        <v>30</v>
      </c>
      <c r="W26" s="65">
        <v>0</v>
      </c>
    </row>
    <row r="27" spans="1:23" ht="15.75" thickBot="1" x14ac:dyDescent="0.3">
      <c r="V27" s="66">
        <v>0</v>
      </c>
      <c r="W27" s="67">
        <v>0</v>
      </c>
    </row>
  </sheetData>
  <sheetProtection algorithmName="SHA-512" hashValue="UJI3u/G0mNm52rr3qDMIKSypw5c4e8gWz3/7lhvE20T06s68OmMG1itVyS7Pf4K9uHr41+9peDo916DcV02E9Q==" saltValue="IrSw+lf76jhZI88kGwewlw==" spinCount="100000" sheet="1" objects="1" scenarios="1"/>
  <mergeCells count="4">
    <mergeCell ref="D2:G2"/>
    <mergeCell ref="H2:K2"/>
    <mergeCell ref="L2:O2"/>
    <mergeCell ref="P2:S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27"/>
  <sheetViews>
    <sheetView workbookViewId="0">
      <selection activeCell="A4" sqref="A4"/>
    </sheetView>
  </sheetViews>
  <sheetFormatPr defaultColWidth="9" defaultRowHeight="15" x14ac:dyDescent="0.25"/>
  <cols>
    <col min="1" max="1" width="14.140625" style="3" bestFit="1" customWidth="1"/>
    <col min="2" max="2" width="10.7109375" style="3" customWidth="1"/>
    <col min="3" max="3" width="9" style="3"/>
    <col min="4" max="5" width="4.7109375" style="3" customWidth="1"/>
    <col min="6" max="6" width="6" style="3" bestFit="1" customWidth="1"/>
    <col min="7" max="7" width="7" style="3" bestFit="1" customWidth="1"/>
    <col min="8" max="8" width="7.5703125" style="3" bestFit="1" customWidth="1"/>
    <col min="9" max="10" width="4.7109375" style="3" customWidth="1"/>
    <col min="11" max="11" width="6" style="3" bestFit="1" customWidth="1"/>
    <col min="12" max="12" width="7" style="3" bestFit="1" customWidth="1"/>
    <col min="13" max="13" width="7.5703125" style="3" bestFit="1" customWidth="1"/>
    <col min="14" max="15" width="4.7109375" style="3" customWidth="1"/>
    <col min="16" max="16" width="6" style="3" bestFit="1" customWidth="1"/>
    <col min="17" max="17" width="7" style="3" bestFit="1" customWidth="1"/>
    <col min="18" max="18" width="7.5703125" style="3" bestFit="1" customWidth="1"/>
    <col min="19" max="20" width="4.7109375" style="3" customWidth="1"/>
    <col min="21" max="21" width="6" style="3" bestFit="1" customWidth="1"/>
    <col min="22" max="22" width="7" style="3" bestFit="1" customWidth="1"/>
    <col min="23" max="24" width="9" style="3"/>
    <col min="25" max="25" width="7.5703125" style="3" bestFit="1" customWidth="1"/>
    <col min="26" max="26" width="7.42578125" style="3" bestFit="1" customWidth="1"/>
    <col min="27" max="27" width="11.7109375" style="3" bestFit="1" customWidth="1"/>
    <col min="28" max="16384" width="9" style="3"/>
  </cols>
  <sheetData>
    <row r="1" spans="1:27" ht="15.75" thickBot="1" x14ac:dyDescent="0.3">
      <c r="A1" s="3" t="s">
        <v>19</v>
      </c>
      <c r="Y1" s="4">
        <v>2</v>
      </c>
      <c r="AA1" s="3" t="s">
        <v>32</v>
      </c>
    </row>
    <row r="2" spans="1:27" ht="15.75" thickBot="1" x14ac:dyDescent="0.3">
      <c r="A2" s="7" t="s">
        <v>44</v>
      </c>
      <c r="B2" s="70"/>
      <c r="D2" s="71" t="s">
        <v>26</v>
      </c>
      <c r="E2" s="72"/>
      <c r="F2" s="72"/>
      <c r="G2" s="72"/>
      <c r="H2" s="73"/>
      <c r="I2" s="71" t="s">
        <v>27</v>
      </c>
      <c r="J2" s="72"/>
      <c r="K2" s="72"/>
      <c r="L2" s="72"/>
      <c r="M2" s="73"/>
      <c r="N2" s="71" t="s">
        <v>28</v>
      </c>
      <c r="O2" s="72"/>
      <c r="P2" s="72"/>
      <c r="Q2" s="72"/>
      <c r="R2" s="73"/>
      <c r="S2" s="71" t="s">
        <v>43</v>
      </c>
      <c r="T2" s="72"/>
      <c r="U2" s="72"/>
      <c r="V2" s="72"/>
      <c r="W2" s="73"/>
      <c r="AA2" s="3" t="s">
        <v>29</v>
      </c>
    </row>
    <row r="3" spans="1:27" ht="15.75" thickBot="1" x14ac:dyDescent="0.3">
      <c r="A3" s="44" t="s">
        <v>0</v>
      </c>
      <c r="B3" s="27" t="s">
        <v>1</v>
      </c>
      <c r="C3" s="40" t="s">
        <v>4</v>
      </c>
      <c r="D3" s="7" t="s">
        <v>9</v>
      </c>
      <c r="E3" s="8" t="s">
        <v>10</v>
      </c>
      <c r="F3" s="8" t="s">
        <v>45</v>
      </c>
      <c r="G3" s="8" t="s">
        <v>3</v>
      </c>
      <c r="H3" s="9" t="s">
        <v>5</v>
      </c>
      <c r="I3" s="7" t="s">
        <v>9</v>
      </c>
      <c r="J3" s="8" t="s">
        <v>10</v>
      </c>
      <c r="K3" s="8" t="s">
        <v>45</v>
      </c>
      <c r="L3" s="8" t="s">
        <v>3</v>
      </c>
      <c r="M3" s="9" t="s">
        <v>7</v>
      </c>
      <c r="N3" s="7" t="s">
        <v>2</v>
      </c>
      <c r="O3" s="8" t="s">
        <v>10</v>
      </c>
      <c r="P3" s="8" t="s">
        <v>45</v>
      </c>
      <c r="Q3" s="8" t="s">
        <v>3</v>
      </c>
      <c r="R3" s="9" t="s">
        <v>6</v>
      </c>
      <c r="S3" s="7" t="s">
        <v>2</v>
      </c>
      <c r="T3" s="8" t="s">
        <v>10</v>
      </c>
      <c r="U3" s="8" t="s">
        <v>45</v>
      </c>
      <c r="V3" s="8" t="s">
        <v>3</v>
      </c>
      <c r="W3" s="9" t="s">
        <v>20</v>
      </c>
      <c r="Y3" s="7" t="s">
        <v>33</v>
      </c>
      <c r="Z3" s="8" t="s">
        <v>32</v>
      </c>
      <c r="AA3" s="9" t="s">
        <v>29</v>
      </c>
    </row>
    <row r="4" spans="1:27" x14ac:dyDescent="0.25">
      <c r="A4" s="36"/>
      <c r="B4" s="37"/>
      <c r="C4" s="41">
        <f>H4+M4+R4+W4</f>
        <v>0</v>
      </c>
      <c r="D4" s="28"/>
      <c r="E4" s="26"/>
      <c r="F4" s="26"/>
      <c r="G4" s="25"/>
      <c r="H4" s="29">
        <f>600-ABS(600-(D4*60+E4))+MIN(50,IF($Y$1=2,VLOOKUP(G4,$AA$4:$AA$27,1,FALSE),VLOOKUP(G4,$Z$4:$AA$27,2,FALSE)))-IF(F4&gt;200,100+3*(F4-200),0.5*F4)</f>
        <v>0</v>
      </c>
      <c r="I4" s="28"/>
      <c r="J4" s="26"/>
      <c r="K4" s="26"/>
      <c r="L4" s="25"/>
      <c r="M4" s="29">
        <f>600-ABS(600-(I4*60+J4))+MIN(50,IF($Y$1=2,VLOOKUP(L4,$AA$4:$AA$27,1,FALSE),VLOOKUP(L4,$Z$4:$AA$27,2,FALSE)))-IF(K4&gt;200,100+3*(K4-200),0.5*K4)</f>
        <v>0</v>
      </c>
      <c r="N4" s="28"/>
      <c r="O4" s="26"/>
      <c r="P4" s="26"/>
      <c r="Q4" s="26"/>
      <c r="R4" s="29">
        <f>600-ABS(600-(N4*60+O4))+MIN(50,IF($Y$1=2,VLOOKUP(Q4,$AA$4:$AA$27,1,FALSE),VLOOKUP(Q4,$Z$4:$AA$27,2,FALSE)))-IF(P4&gt;200,100+3*(P4-200),0.5*P4)</f>
        <v>0</v>
      </c>
      <c r="S4" s="28"/>
      <c r="T4" s="26"/>
      <c r="U4" s="26"/>
      <c r="V4" s="26"/>
      <c r="W4" s="29">
        <f>600-ABS(600-(S4*60+T4))+MIN(50,IF($Y$1=2,VLOOKUP(V4,$AA$4:$AA$27,1,FALSE),VLOOKUP(V4,$Z$4:$AA$27,2,FALSE)))-IF(U4&gt;200,100+3*(U4-200),0.5*U4)</f>
        <v>0</v>
      </c>
      <c r="Y4" s="10" t="s">
        <v>30</v>
      </c>
      <c r="Z4" s="17">
        <v>100</v>
      </c>
      <c r="AA4" s="18">
        <v>50</v>
      </c>
    </row>
    <row r="5" spans="1:27" x14ac:dyDescent="0.25">
      <c r="A5" s="32"/>
      <c r="B5" s="38"/>
      <c r="C5" s="42">
        <f t="shared" ref="C5:C23" si="0">H5+M5+R5+W5</f>
        <v>0</v>
      </c>
      <c r="D5" s="30"/>
      <c r="E5" s="23"/>
      <c r="F5" s="23"/>
      <c r="G5" s="24"/>
      <c r="H5" s="29">
        <f t="shared" ref="H5:H23" si="1">600-ABS(600-(D5*60+E5))+MIN(50,IF($Y$1=2,VLOOKUP(G5,$AA$4:$AA$27,1,FALSE),VLOOKUP(G5,$Z$4:$AA$27,2,FALSE)))-IF(F5&gt;200,100+3*(F5-200),0.5*F5)</f>
        <v>0</v>
      </c>
      <c r="I5" s="30"/>
      <c r="J5" s="23"/>
      <c r="K5" s="23"/>
      <c r="L5" s="24"/>
      <c r="M5" s="29">
        <f t="shared" ref="M5:M23" si="2">600-ABS(600-(I5*60+J5))+MIN(50,IF($Y$1=2,VLOOKUP(L5,$AA$4:$AA$27,1,FALSE),VLOOKUP(L5,$Z$4:$AA$27,2,FALSE)))-IF(K5&gt;200,100+3*(K5-200),0.5*K5)</f>
        <v>0</v>
      </c>
      <c r="N5" s="30"/>
      <c r="O5" s="23"/>
      <c r="P5" s="23"/>
      <c r="Q5" s="23"/>
      <c r="R5" s="29">
        <f t="shared" ref="R5:R23" si="3">600-ABS(600-(N5*60+O5))+MIN(50,IF($Y$1=2,VLOOKUP(Q5,$AA$4:$AA$27,1,FALSE),VLOOKUP(Q5,$Z$4:$AA$27,2,FALSE)))-IF(P5&gt;200,100+3*(P5-200),0.5*P5)</f>
        <v>0</v>
      </c>
      <c r="S5" s="30"/>
      <c r="T5" s="23"/>
      <c r="U5" s="23"/>
      <c r="V5" s="23"/>
      <c r="W5" s="29">
        <f t="shared" ref="W5:W23" si="4">600-ABS(600-(S5*60+T5))+MIN(50,IF($Y$1=2,VLOOKUP(V5,$AA$4:$AA$27,1,FALSE),VLOOKUP(V5,$Z$4:$AA$27,2,FALSE)))-IF(U5&gt;200,100+3*(U5-200),0.5*U5)</f>
        <v>0</v>
      </c>
      <c r="Y5" s="12"/>
      <c r="Z5" s="19">
        <v>99</v>
      </c>
      <c r="AA5" s="20">
        <v>50</v>
      </c>
    </row>
    <row r="6" spans="1:27" x14ac:dyDescent="0.25">
      <c r="A6" s="32"/>
      <c r="B6" s="38"/>
      <c r="C6" s="42">
        <f t="shared" si="0"/>
        <v>0</v>
      </c>
      <c r="D6" s="30"/>
      <c r="E6" s="23"/>
      <c r="F6" s="23"/>
      <c r="G6" s="24"/>
      <c r="H6" s="29">
        <f t="shared" si="1"/>
        <v>0</v>
      </c>
      <c r="I6" s="30"/>
      <c r="J6" s="23"/>
      <c r="K6" s="23"/>
      <c r="L6" s="24"/>
      <c r="M6" s="29">
        <f t="shared" si="2"/>
        <v>0</v>
      </c>
      <c r="N6" s="30"/>
      <c r="O6" s="23"/>
      <c r="P6" s="23"/>
      <c r="Q6" s="23"/>
      <c r="R6" s="29">
        <f t="shared" si="3"/>
        <v>0</v>
      </c>
      <c r="S6" s="30"/>
      <c r="T6" s="23"/>
      <c r="U6" s="23"/>
      <c r="V6" s="23"/>
      <c r="W6" s="29">
        <f t="shared" si="4"/>
        <v>0</v>
      </c>
      <c r="Y6" s="12"/>
      <c r="Z6" s="19">
        <v>98</v>
      </c>
      <c r="AA6" s="20">
        <v>50</v>
      </c>
    </row>
    <row r="7" spans="1:27" x14ac:dyDescent="0.25">
      <c r="A7" s="32"/>
      <c r="B7" s="38"/>
      <c r="C7" s="42">
        <f t="shared" si="0"/>
        <v>0</v>
      </c>
      <c r="D7" s="32"/>
      <c r="E7" s="24"/>
      <c r="F7" s="24"/>
      <c r="G7" s="24"/>
      <c r="H7" s="29">
        <f t="shared" si="1"/>
        <v>0</v>
      </c>
      <c r="I7" s="32"/>
      <c r="J7" s="24"/>
      <c r="K7" s="24"/>
      <c r="L7" s="24"/>
      <c r="M7" s="29">
        <f t="shared" si="2"/>
        <v>0</v>
      </c>
      <c r="N7" s="32"/>
      <c r="O7" s="24"/>
      <c r="P7" s="24"/>
      <c r="Q7" s="24"/>
      <c r="R7" s="29">
        <f t="shared" si="3"/>
        <v>0</v>
      </c>
      <c r="S7" s="32"/>
      <c r="T7" s="24"/>
      <c r="U7" s="24"/>
      <c r="V7" s="24"/>
      <c r="W7" s="29">
        <f t="shared" si="4"/>
        <v>0</v>
      </c>
      <c r="Y7" s="12"/>
      <c r="Z7" s="19">
        <v>97</v>
      </c>
      <c r="AA7" s="20">
        <v>50</v>
      </c>
    </row>
    <row r="8" spans="1:27" x14ac:dyDescent="0.25">
      <c r="A8" s="32"/>
      <c r="B8" s="38"/>
      <c r="C8" s="42">
        <f t="shared" si="0"/>
        <v>0</v>
      </c>
      <c r="D8" s="32"/>
      <c r="E8" s="24"/>
      <c r="F8" s="24"/>
      <c r="G8" s="24"/>
      <c r="H8" s="29">
        <f t="shared" si="1"/>
        <v>0</v>
      </c>
      <c r="I8" s="32"/>
      <c r="J8" s="24"/>
      <c r="K8" s="24"/>
      <c r="L8" s="24"/>
      <c r="M8" s="29">
        <f t="shared" si="2"/>
        <v>0</v>
      </c>
      <c r="N8" s="32"/>
      <c r="O8" s="24"/>
      <c r="P8" s="24"/>
      <c r="Q8" s="24"/>
      <c r="R8" s="29">
        <f t="shared" si="3"/>
        <v>0</v>
      </c>
      <c r="S8" s="32"/>
      <c r="T8" s="24"/>
      <c r="U8" s="24"/>
      <c r="V8" s="24"/>
      <c r="W8" s="29">
        <f t="shared" si="4"/>
        <v>0</v>
      </c>
      <c r="Y8" s="12"/>
      <c r="Z8" s="19">
        <v>96</v>
      </c>
      <c r="AA8" s="20">
        <v>50</v>
      </c>
    </row>
    <row r="9" spans="1:27" x14ac:dyDescent="0.25">
      <c r="A9" s="32"/>
      <c r="B9" s="38"/>
      <c r="C9" s="42">
        <f t="shared" si="0"/>
        <v>0</v>
      </c>
      <c r="D9" s="32"/>
      <c r="E9" s="24"/>
      <c r="F9" s="24"/>
      <c r="G9" s="24"/>
      <c r="H9" s="29">
        <f t="shared" si="1"/>
        <v>0</v>
      </c>
      <c r="I9" s="32"/>
      <c r="J9" s="24"/>
      <c r="K9" s="24"/>
      <c r="L9" s="24"/>
      <c r="M9" s="29">
        <f t="shared" si="2"/>
        <v>0</v>
      </c>
      <c r="N9" s="32"/>
      <c r="O9" s="24"/>
      <c r="P9" s="24"/>
      <c r="Q9" s="24"/>
      <c r="R9" s="29">
        <f t="shared" si="3"/>
        <v>0</v>
      </c>
      <c r="S9" s="32"/>
      <c r="T9" s="24"/>
      <c r="U9" s="24"/>
      <c r="V9" s="24"/>
      <c r="W9" s="29">
        <f t="shared" si="4"/>
        <v>0</v>
      </c>
      <c r="Y9" s="12" t="s">
        <v>31</v>
      </c>
      <c r="Z9" s="19">
        <v>95</v>
      </c>
      <c r="AA9" s="20">
        <v>45</v>
      </c>
    </row>
    <row r="10" spans="1:27" x14ac:dyDescent="0.25">
      <c r="A10" s="32"/>
      <c r="B10" s="38"/>
      <c r="C10" s="42">
        <f t="shared" si="0"/>
        <v>0</v>
      </c>
      <c r="D10" s="32"/>
      <c r="E10" s="24"/>
      <c r="F10" s="24"/>
      <c r="G10" s="24"/>
      <c r="H10" s="29">
        <f t="shared" si="1"/>
        <v>0</v>
      </c>
      <c r="I10" s="32"/>
      <c r="J10" s="24"/>
      <c r="K10" s="24"/>
      <c r="L10" s="24"/>
      <c r="M10" s="29">
        <f t="shared" si="2"/>
        <v>0</v>
      </c>
      <c r="N10" s="32"/>
      <c r="O10" s="24"/>
      <c r="P10" s="24"/>
      <c r="Q10" s="24"/>
      <c r="R10" s="29">
        <f t="shared" si="3"/>
        <v>0</v>
      </c>
      <c r="S10" s="32"/>
      <c r="T10" s="24"/>
      <c r="U10" s="24"/>
      <c r="V10" s="24"/>
      <c r="W10" s="29">
        <f t="shared" si="4"/>
        <v>0</v>
      </c>
      <c r="Y10" s="12"/>
      <c r="Z10" s="19">
        <v>94</v>
      </c>
      <c r="AA10" s="20">
        <v>45</v>
      </c>
    </row>
    <row r="11" spans="1:27" x14ac:dyDescent="0.25">
      <c r="A11" s="32"/>
      <c r="B11" s="38"/>
      <c r="C11" s="42">
        <f t="shared" si="0"/>
        <v>0</v>
      </c>
      <c r="D11" s="32"/>
      <c r="E11" s="24"/>
      <c r="F11" s="24"/>
      <c r="G11" s="24"/>
      <c r="H11" s="29">
        <f t="shared" si="1"/>
        <v>0</v>
      </c>
      <c r="I11" s="32"/>
      <c r="J11" s="24"/>
      <c r="K11" s="24"/>
      <c r="L11" s="24"/>
      <c r="M11" s="29">
        <f t="shared" si="2"/>
        <v>0</v>
      </c>
      <c r="N11" s="32"/>
      <c r="O11" s="24"/>
      <c r="P11" s="24"/>
      <c r="Q11" s="24"/>
      <c r="R11" s="29">
        <f t="shared" si="3"/>
        <v>0</v>
      </c>
      <c r="S11" s="32"/>
      <c r="T11" s="24"/>
      <c r="U11" s="24"/>
      <c r="V11" s="24"/>
      <c r="W11" s="29">
        <f t="shared" si="4"/>
        <v>0</v>
      </c>
      <c r="Y11" s="12"/>
      <c r="Z11" s="19">
        <v>93</v>
      </c>
      <c r="AA11" s="20">
        <v>45</v>
      </c>
    </row>
    <row r="12" spans="1:27" x14ac:dyDescent="0.25">
      <c r="A12" s="32"/>
      <c r="B12" s="38"/>
      <c r="C12" s="42">
        <f t="shared" si="0"/>
        <v>0</v>
      </c>
      <c r="D12" s="32"/>
      <c r="E12" s="24"/>
      <c r="F12" s="24"/>
      <c r="G12" s="24"/>
      <c r="H12" s="29">
        <f t="shared" si="1"/>
        <v>0</v>
      </c>
      <c r="I12" s="32"/>
      <c r="J12" s="24"/>
      <c r="K12" s="24"/>
      <c r="L12" s="24"/>
      <c r="M12" s="29">
        <f t="shared" si="2"/>
        <v>0</v>
      </c>
      <c r="N12" s="32"/>
      <c r="O12" s="24"/>
      <c r="P12" s="24"/>
      <c r="Q12" s="24"/>
      <c r="R12" s="29">
        <f t="shared" si="3"/>
        <v>0</v>
      </c>
      <c r="S12" s="32"/>
      <c r="T12" s="24"/>
      <c r="U12" s="24"/>
      <c r="V12" s="24"/>
      <c r="W12" s="29">
        <f t="shared" si="4"/>
        <v>0</v>
      </c>
      <c r="Y12" s="12"/>
      <c r="Z12" s="19">
        <v>92</v>
      </c>
      <c r="AA12" s="20">
        <v>45</v>
      </c>
    </row>
    <row r="13" spans="1:27" x14ac:dyDescent="0.25">
      <c r="A13" s="32"/>
      <c r="B13" s="38"/>
      <c r="C13" s="42">
        <f t="shared" si="0"/>
        <v>0</v>
      </c>
      <c r="D13" s="32"/>
      <c r="E13" s="24"/>
      <c r="F13" s="24"/>
      <c r="G13" s="24"/>
      <c r="H13" s="29">
        <f t="shared" si="1"/>
        <v>0</v>
      </c>
      <c r="I13" s="32"/>
      <c r="J13" s="24"/>
      <c r="K13" s="24"/>
      <c r="L13" s="24"/>
      <c r="M13" s="29">
        <f t="shared" si="2"/>
        <v>0</v>
      </c>
      <c r="N13" s="32"/>
      <c r="O13" s="24"/>
      <c r="P13" s="24"/>
      <c r="Q13" s="24"/>
      <c r="R13" s="29">
        <f t="shared" si="3"/>
        <v>0</v>
      </c>
      <c r="S13" s="32"/>
      <c r="T13" s="24"/>
      <c r="U13" s="24"/>
      <c r="V13" s="24"/>
      <c r="W13" s="29">
        <f t="shared" si="4"/>
        <v>0</v>
      </c>
      <c r="Y13" s="12"/>
      <c r="Z13" s="19">
        <v>91</v>
      </c>
      <c r="AA13" s="20">
        <v>45</v>
      </c>
    </row>
    <row r="14" spans="1:27" x14ac:dyDescent="0.25">
      <c r="A14" s="32"/>
      <c r="B14" s="38"/>
      <c r="C14" s="42">
        <f t="shared" si="0"/>
        <v>0</v>
      </c>
      <c r="D14" s="32"/>
      <c r="E14" s="24"/>
      <c r="F14" s="24"/>
      <c r="G14" s="24"/>
      <c r="H14" s="29">
        <f t="shared" si="1"/>
        <v>0</v>
      </c>
      <c r="I14" s="32"/>
      <c r="J14" s="24"/>
      <c r="K14" s="24"/>
      <c r="L14" s="24"/>
      <c r="M14" s="29">
        <f t="shared" si="2"/>
        <v>0</v>
      </c>
      <c r="N14" s="32"/>
      <c r="O14" s="24"/>
      <c r="P14" s="24"/>
      <c r="Q14" s="24"/>
      <c r="R14" s="29">
        <f t="shared" si="3"/>
        <v>0</v>
      </c>
      <c r="S14" s="32"/>
      <c r="T14" s="24"/>
      <c r="U14" s="24"/>
      <c r="V14" s="24"/>
      <c r="W14" s="29">
        <f t="shared" si="4"/>
        <v>0</v>
      </c>
      <c r="Y14" s="12" t="s">
        <v>34</v>
      </c>
      <c r="Z14" s="19">
        <v>90</v>
      </c>
      <c r="AA14" s="20">
        <v>40</v>
      </c>
    </row>
    <row r="15" spans="1:27" x14ac:dyDescent="0.25">
      <c r="A15" s="32"/>
      <c r="B15" s="38"/>
      <c r="C15" s="42">
        <f t="shared" si="0"/>
        <v>0</v>
      </c>
      <c r="D15" s="32"/>
      <c r="E15" s="24"/>
      <c r="F15" s="24"/>
      <c r="G15" s="24"/>
      <c r="H15" s="29">
        <f t="shared" si="1"/>
        <v>0</v>
      </c>
      <c r="I15" s="32"/>
      <c r="J15" s="24"/>
      <c r="K15" s="24"/>
      <c r="L15" s="24"/>
      <c r="M15" s="29">
        <f t="shared" si="2"/>
        <v>0</v>
      </c>
      <c r="N15" s="32"/>
      <c r="O15" s="24"/>
      <c r="P15" s="24"/>
      <c r="Q15" s="24"/>
      <c r="R15" s="29">
        <f t="shared" si="3"/>
        <v>0</v>
      </c>
      <c r="S15" s="32"/>
      <c r="T15" s="24"/>
      <c r="U15" s="24"/>
      <c r="V15" s="24"/>
      <c r="W15" s="29">
        <f t="shared" si="4"/>
        <v>0</v>
      </c>
      <c r="Y15" s="12" t="s">
        <v>35</v>
      </c>
      <c r="Z15" s="19">
        <v>85</v>
      </c>
      <c r="AA15" s="20">
        <v>35</v>
      </c>
    </row>
    <row r="16" spans="1:27" x14ac:dyDescent="0.25">
      <c r="A16" s="32"/>
      <c r="B16" s="38"/>
      <c r="C16" s="42">
        <f t="shared" si="0"/>
        <v>0</v>
      </c>
      <c r="D16" s="32"/>
      <c r="E16" s="24"/>
      <c r="F16" s="24"/>
      <c r="G16" s="24"/>
      <c r="H16" s="29">
        <f t="shared" si="1"/>
        <v>0</v>
      </c>
      <c r="I16" s="32"/>
      <c r="J16" s="24"/>
      <c r="K16" s="24"/>
      <c r="L16" s="24"/>
      <c r="M16" s="29">
        <f t="shared" si="2"/>
        <v>0</v>
      </c>
      <c r="N16" s="32"/>
      <c r="O16" s="24"/>
      <c r="P16" s="24"/>
      <c r="Q16" s="24"/>
      <c r="R16" s="29">
        <f t="shared" si="3"/>
        <v>0</v>
      </c>
      <c r="S16" s="32"/>
      <c r="T16" s="24"/>
      <c r="U16" s="24"/>
      <c r="V16" s="24"/>
      <c r="W16" s="29">
        <f t="shared" si="4"/>
        <v>0</v>
      </c>
      <c r="Y16" s="12" t="s">
        <v>36</v>
      </c>
      <c r="Z16" s="19">
        <v>80</v>
      </c>
      <c r="AA16" s="20">
        <v>30</v>
      </c>
    </row>
    <row r="17" spans="1:27" x14ac:dyDescent="0.25">
      <c r="A17" s="32"/>
      <c r="B17" s="38"/>
      <c r="C17" s="42">
        <f t="shared" si="0"/>
        <v>0</v>
      </c>
      <c r="D17" s="32"/>
      <c r="E17" s="24"/>
      <c r="F17" s="24"/>
      <c r="G17" s="24"/>
      <c r="H17" s="29">
        <f t="shared" si="1"/>
        <v>0</v>
      </c>
      <c r="I17" s="32"/>
      <c r="J17" s="24"/>
      <c r="K17" s="24"/>
      <c r="L17" s="24"/>
      <c r="M17" s="29">
        <f t="shared" si="2"/>
        <v>0</v>
      </c>
      <c r="N17" s="32"/>
      <c r="O17" s="24"/>
      <c r="P17" s="24"/>
      <c r="Q17" s="24"/>
      <c r="R17" s="29">
        <f t="shared" si="3"/>
        <v>0</v>
      </c>
      <c r="S17" s="32"/>
      <c r="T17" s="24"/>
      <c r="U17" s="24"/>
      <c r="V17" s="24"/>
      <c r="W17" s="29">
        <f t="shared" si="4"/>
        <v>0</v>
      </c>
      <c r="Y17" s="12" t="s">
        <v>37</v>
      </c>
      <c r="Z17" s="19">
        <v>75</v>
      </c>
      <c r="AA17" s="20">
        <v>25</v>
      </c>
    </row>
    <row r="18" spans="1:27" x14ac:dyDescent="0.25">
      <c r="A18" s="32"/>
      <c r="B18" s="38"/>
      <c r="C18" s="42">
        <f t="shared" si="0"/>
        <v>0</v>
      </c>
      <c r="D18" s="32"/>
      <c r="E18" s="24"/>
      <c r="F18" s="24"/>
      <c r="G18" s="24"/>
      <c r="H18" s="29">
        <f t="shared" si="1"/>
        <v>0</v>
      </c>
      <c r="I18" s="32"/>
      <c r="J18" s="24"/>
      <c r="K18" s="24"/>
      <c r="L18" s="24"/>
      <c r="M18" s="29">
        <f t="shared" si="2"/>
        <v>0</v>
      </c>
      <c r="N18" s="32"/>
      <c r="O18" s="24"/>
      <c r="P18" s="24"/>
      <c r="Q18" s="24"/>
      <c r="R18" s="29">
        <f t="shared" si="3"/>
        <v>0</v>
      </c>
      <c r="S18" s="32"/>
      <c r="T18" s="24"/>
      <c r="U18" s="24"/>
      <c r="V18" s="24"/>
      <c r="W18" s="29">
        <f t="shared" si="4"/>
        <v>0</v>
      </c>
      <c r="Y18" s="12" t="s">
        <v>38</v>
      </c>
      <c r="Z18" s="19">
        <v>70</v>
      </c>
      <c r="AA18" s="20">
        <v>20</v>
      </c>
    </row>
    <row r="19" spans="1:27" x14ac:dyDescent="0.25">
      <c r="A19" s="32"/>
      <c r="B19" s="38"/>
      <c r="C19" s="42">
        <f t="shared" si="0"/>
        <v>0</v>
      </c>
      <c r="D19" s="32"/>
      <c r="E19" s="24"/>
      <c r="F19" s="24"/>
      <c r="G19" s="24"/>
      <c r="H19" s="29">
        <f t="shared" si="1"/>
        <v>0</v>
      </c>
      <c r="I19" s="32"/>
      <c r="J19" s="24"/>
      <c r="K19" s="24"/>
      <c r="L19" s="24"/>
      <c r="M19" s="29">
        <f t="shared" si="2"/>
        <v>0</v>
      </c>
      <c r="N19" s="32"/>
      <c r="O19" s="24"/>
      <c r="P19" s="24"/>
      <c r="Q19" s="24"/>
      <c r="R19" s="29">
        <f t="shared" si="3"/>
        <v>0</v>
      </c>
      <c r="S19" s="32"/>
      <c r="T19" s="24"/>
      <c r="U19" s="24"/>
      <c r="V19" s="24"/>
      <c r="W19" s="29">
        <f t="shared" si="4"/>
        <v>0</v>
      </c>
      <c r="Y19" s="12" t="s">
        <v>39</v>
      </c>
      <c r="Z19" s="19">
        <v>65</v>
      </c>
      <c r="AA19" s="20">
        <v>15</v>
      </c>
    </row>
    <row r="20" spans="1:27" x14ac:dyDescent="0.25">
      <c r="A20" s="32"/>
      <c r="B20" s="38"/>
      <c r="C20" s="42">
        <f t="shared" si="0"/>
        <v>0</v>
      </c>
      <c r="D20" s="32"/>
      <c r="E20" s="24"/>
      <c r="F20" s="24"/>
      <c r="G20" s="24"/>
      <c r="H20" s="29">
        <f t="shared" si="1"/>
        <v>0</v>
      </c>
      <c r="I20" s="32"/>
      <c r="J20" s="24"/>
      <c r="K20" s="24"/>
      <c r="L20" s="24"/>
      <c r="M20" s="29">
        <f t="shared" si="2"/>
        <v>0</v>
      </c>
      <c r="N20" s="32"/>
      <c r="O20" s="24"/>
      <c r="P20" s="24"/>
      <c r="Q20" s="24"/>
      <c r="R20" s="29">
        <f t="shared" si="3"/>
        <v>0</v>
      </c>
      <c r="S20" s="32"/>
      <c r="T20" s="24"/>
      <c r="U20" s="24"/>
      <c r="V20" s="24"/>
      <c r="W20" s="29">
        <f t="shared" si="4"/>
        <v>0</v>
      </c>
      <c r="Y20" s="12" t="s">
        <v>40</v>
      </c>
      <c r="Z20" s="19">
        <v>60</v>
      </c>
      <c r="AA20" s="20">
        <v>10</v>
      </c>
    </row>
    <row r="21" spans="1:27" x14ac:dyDescent="0.25">
      <c r="A21" s="32"/>
      <c r="B21" s="38"/>
      <c r="C21" s="42">
        <f t="shared" si="0"/>
        <v>0</v>
      </c>
      <c r="D21" s="32"/>
      <c r="E21" s="24"/>
      <c r="F21" s="24"/>
      <c r="G21" s="24"/>
      <c r="H21" s="29">
        <f t="shared" si="1"/>
        <v>0</v>
      </c>
      <c r="I21" s="32"/>
      <c r="J21" s="24"/>
      <c r="K21" s="24"/>
      <c r="L21" s="24"/>
      <c r="M21" s="29">
        <f t="shared" si="2"/>
        <v>0</v>
      </c>
      <c r="N21" s="32"/>
      <c r="O21" s="24"/>
      <c r="P21" s="24"/>
      <c r="Q21" s="24"/>
      <c r="R21" s="29">
        <f t="shared" si="3"/>
        <v>0</v>
      </c>
      <c r="S21" s="32"/>
      <c r="T21" s="24"/>
      <c r="U21" s="24"/>
      <c r="V21" s="24"/>
      <c r="W21" s="29">
        <f t="shared" si="4"/>
        <v>0</v>
      </c>
      <c r="Y21" s="12" t="s">
        <v>41</v>
      </c>
      <c r="Z21" s="19">
        <v>55</v>
      </c>
      <c r="AA21" s="20">
        <v>5</v>
      </c>
    </row>
    <row r="22" spans="1:27" ht="15.75" thickBot="1" x14ac:dyDescent="0.3">
      <c r="A22" s="32"/>
      <c r="B22" s="38"/>
      <c r="C22" s="42">
        <f t="shared" si="0"/>
        <v>0</v>
      </c>
      <c r="D22" s="32"/>
      <c r="E22" s="24"/>
      <c r="F22" s="24"/>
      <c r="G22" s="24"/>
      <c r="H22" s="29">
        <f t="shared" si="1"/>
        <v>0</v>
      </c>
      <c r="I22" s="32"/>
      <c r="J22" s="24"/>
      <c r="K22" s="24"/>
      <c r="L22" s="24"/>
      <c r="M22" s="29">
        <f t="shared" si="2"/>
        <v>0</v>
      </c>
      <c r="N22" s="32"/>
      <c r="O22" s="24"/>
      <c r="P22" s="24"/>
      <c r="Q22" s="24"/>
      <c r="R22" s="29">
        <f t="shared" si="3"/>
        <v>0</v>
      </c>
      <c r="S22" s="32"/>
      <c r="T22" s="24"/>
      <c r="U22" s="24"/>
      <c r="V22" s="24"/>
      <c r="W22" s="29">
        <f t="shared" si="4"/>
        <v>0</v>
      </c>
      <c r="Y22" s="14" t="s">
        <v>42</v>
      </c>
      <c r="Z22" s="60">
        <v>50</v>
      </c>
      <c r="AA22" s="61">
        <v>0</v>
      </c>
    </row>
    <row r="23" spans="1:27" ht="15.75" thickBot="1" x14ac:dyDescent="0.3">
      <c r="A23" s="33"/>
      <c r="B23" s="39"/>
      <c r="C23" s="43">
        <f t="shared" si="0"/>
        <v>0</v>
      </c>
      <c r="D23" s="33"/>
      <c r="E23" s="34"/>
      <c r="F23" s="34"/>
      <c r="G23" s="34"/>
      <c r="H23" s="29">
        <f t="shared" si="1"/>
        <v>0</v>
      </c>
      <c r="I23" s="33"/>
      <c r="J23" s="34"/>
      <c r="K23" s="34"/>
      <c r="L23" s="34"/>
      <c r="M23" s="29">
        <f t="shared" si="2"/>
        <v>0</v>
      </c>
      <c r="N23" s="33"/>
      <c r="O23" s="34"/>
      <c r="P23" s="34"/>
      <c r="Q23" s="34"/>
      <c r="R23" s="29">
        <f t="shared" si="3"/>
        <v>0</v>
      </c>
      <c r="S23" s="33"/>
      <c r="T23" s="34"/>
      <c r="U23" s="34"/>
      <c r="V23" s="34"/>
      <c r="W23" s="29">
        <f t="shared" si="4"/>
        <v>0</v>
      </c>
      <c r="Z23" s="62">
        <v>45</v>
      </c>
      <c r="AA23" s="63">
        <v>0</v>
      </c>
    </row>
    <row r="24" spans="1:27" x14ac:dyDescent="0.25">
      <c r="Z24" s="64">
        <v>40</v>
      </c>
      <c r="AA24" s="65">
        <v>0</v>
      </c>
    </row>
    <row r="25" spans="1:27" x14ac:dyDescent="0.25">
      <c r="Z25" s="64">
        <v>35</v>
      </c>
      <c r="AA25" s="65">
        <v>0</v>
      </c>
    </row>
    <row r="26" spans="1:27" x14ac:dyDescent="0.25">
      <c r="Z26" s="64">
        <v>30</v>
      </c>
      <c r="AA26" s="65">
        <v>0</v>
      </c>
    </row>
    <row r="27" spans="1:27" ht="15.75" thickBot="1" x14ac:dyDescent="0.3">
      <c r="Z27" s="66">
        <v>0</v>
      </c>
      <c r="AA27" s="67">
        <v>0</v>
      </c>
    </row>
  </sheetData>
  <sheetProtection algorithmName="SHA-512" hashValue="9rjxAaKqaR69Vz5IvdrThsN2qw3/b0VTEES9mbqvddbx8GgSULHfX/rcwo5/vrbjRyVTs1URpZyKzyEs2XMG3Q==" saltValue="3pphGAcw86tQCEC1aQ8RIQ==" spinCount="100000" sheet="1" objects="1" scenarios="1"/>
  <mergeCells count="4">
    <mergeCell ref="D2:H2"/>
    <mergeCell ref="I2:M2"/>
    <mergeCell ref="N2:R2"/>
    <mergeCell ref="S2:W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3"/>
  <sheetViews>
    <sheetView workbookViewId="0">
      <selection activeCell="A4" sqref="A4"/>
    </sheetView>
  </sheetViews>
  <sheetFormatPr defaultRowHeight="15" x14ac:dyDescent="0.25"/>
  <cols>
    <col min="1" max="1" width="16.140625" customWidth="1"/>
    <col min="2" max="2" width="10.7109375" customWidth="1"/>
    <col min="3" max="3" width="9.5703125" bestFit="1" customWidth="1"/>
    <col min="4" max="7" width="4.7109375" customWidth="1"/>
    <col min="8" max="8" width="5.7109375" customWidth="1"/>
    <col min="9" max="9" width="7.7109375" customWidth="1"/>
    <col min="10" max="13" width="4.7109375" customWidth="1"/>
    <col min="14" max="14" width="5.7109375" customWidth="1"/>
    <col min="15" max="15" width="7.7109375" customWidth="1"/>
    <col min="16" max="25" width="4.7109375" customWidth="1"/>
    <col min="26" max="26" width="5.7109375" customWidth="1"/>
    <col min="27" max="27" width="7.7109375" customWidth="1"/>
    <col min="28" max="35" width="4.7109375" customWidth="1"/>
    <col min="36" max="36" width="5.7109375" customWidth="1"/>
  </cols>
  <sheetData>
    <row r="1" spans="1:36" ht="15.75" thickBot="1" x14ac:dyDescent="0.3">
      <c r="A1" t="s">
        <v>17</v>
      </c>
      <c r="D1" t="s">
        <v>12</v>
      </c>
      <c r="J1" t="s">
        <v>11</v>
      </c>
      <c r="P1" t="s">
        <v>14</v>
      </c>
      <c r="AB1" t="s">
        <v>15</v>
      </c>
    </row>
    <row r="2" spans="1:36" ht="15.75" thickBot="1" x14ac:dyDescent="0.3">
      <c r="A2" s="7" t="s">
        <v>44</v>
      </c>
      <c r="B2" s="70"/>
      <c r="D2" s="74" t="s">
        <v>21</v>
      </c>
      <c r="E2" s="73"/>
      <c r="F2" s="74" t="s">
        <v>22</v>
      </c>
      <c r="G2" s="73"/>
      <c r="H2" s="51"/>
      <c r="J2" s="74" t="s">
        <v>21</v>
      </c>
      <c r="K2" s="73"/>
      <c r="L2" s="74" t="s">
        <v>22</v>
      </c>
      <c r="M2" s="73"/>
      <c r="N2" s="51"/>
      <c r="P2" s="74" t="s">
        <v>21</v>
      </c>
      <c r="Q2" s="73"/>
      <c r="R2" s="74" t="s">
        <v>22</v>
      </c>
      <c r="S2" s="73"/>
      <c r="T2" s="74" t="s">
        <v>23</v>
      </c>
      <c r="U2" s="73"/>
      <c r="V2" s="74" t="s">
        <v>24</v>
      </c>
      <c r="W2" s="73"/>
      <c r="X2" s="74" t="s">
        <v>25</v>
      </c>
      <c r="Y2" s="73"/>
      <c r="Z2" s="51"/>
      <c r="AB2" s="74" t="s">
        <v>21</v>
      </c>
      <c r="AC2" s="73"/>
      <c r="AD2" s="74" t="s">
        <v>22</v>
      </c>
      <c r="AE2" s="73"/>
      <c r="AF2" s="74" t="s">
        <v>23</v>
      </c>
      <c r="AG2" s="73"/>
      <c r="AH2" s="74" t="s">
        <v>24</v>
      </c>
      <c r="AI2" s="73"/>
      <c r="AJ2" s="51"/>
    </row>
    <row r="3" spans="1:36" ht="15.75" thickBot="1" x14ac:dyDescent="0.3">
      <c r="A3" s="44" t="s">
        <v>0</v>
      </c>
      <c r="B3" s="27" t="s">
        <v>16</v>
      </c>
      <c r="C3" s="45" t="s">
        <v>13</v>
      </c>
      <c r="D3" s="49" t="s">
        <v>9</v>
      </c>
      <c r="E3" s="50" t="s">
        <v>10</v>
      </c>
      <c r="F3" s="49" t="s">
        <v>9</v>
      </c>
      <c r="G3" s="50" t="s">
        <v>10</v>
      </c>
      <c r="H3" s="52" t="s">
        <v>8</v>
      </c>
      <c r="J3" s="49" t="s">
        <v>9</v>
      </c>
      <c r="K3" s="50" t="s">
        <v>10</v>
      </c>
      <c r="L3" s="49" t="s">
        <v>9</v>
      </c>
      <c r="M3" s="50" t="s">
        <v>10</v>
      </c>
      <c r="N3" s="52" t="s">
        <v>8</v>
      </c>
      <c r="P3" s="49" t="s">
        <v>9</v>
      </c>
      <c r="Q3" s="50" t="s">
        <v>10</v>
      </c>
      <c r="R3" s="49" t="s">
        <v>9</v>
      </c>
      <c r="S3" s="50" t="s">
        <v>10</v>
      </c>
      <c r="T3" s="49" t="s">
        <v>9</v>
      </c>
      <c r="U3" s="50" t="s">
        <v>10</v>
      </c>
      <c r="V3" s="49" t="s">
        <v>9</v>
      </c>
      <c r="W3" s="50" t="s">
        <v>10</v>
      </c>
      <c r="X3" s="49" t="s">
        <v>9</v>
      </c>
      <c r="Y3" s="50" t="s">
        <v>10</v>
      </c>
      <c r="Z3" s="52" t="s">
        <v>8</v>
      </c>
      <c r="AB3" s="49" t="s">
        <v>9</v>
      </c>
      <c r="AC3" s="50" t="s">
        <v>10</v>
      </c>
      <c r="AD3" s="49" t="s">
        <v>9</v>
      </c>
      <c r="AE3" s="50" t="s">
        <v>10</v>
      </c>
      <c r="AF3" s="49" t="s">
        <v>9</v>
      </c>
      <c r="AG3" s="50" t="s">
        <v>10</v>
      </c>
      <c r="AH3" s="49" t="s">
        <v>9</v>
      </c>
      <c r="AI3" s="50" t="s">
        <v>10</v>
      </c>
      <c r="AJ3" s="52" t="s">
        <v>8</v>
      </c>
    </row>
    <row r="4" spans="1:36" x14ac:dyDescent="0.25">
      <c r="A4" s="36"/>
      <c r="B4" s="37"/>
      <c r="C4" s="46">
        <f>H4+N4+Z4+AJ4</f>
        <v>0</v>
      </c>
      <c r="D4" s="28"/>
      <c r="E4" s="56"/>
      <c r="F4" s="28"/>
      <c r="G4" s="56"/>
      <c r="H4" s="53">
        <f>MIN(240,D4*60+E4)+MIN(240,F4*60+G4)</f>
        <v>0</v>
      </c>
      <c r="J4" s="28"/>
      <c r="K4" s="56"/>
      <c r="L4" s="28"/>
      <c r="M4" s="56"/>
      <c r="N4" s="53">
        <f>MIN(300,J4*60+K4)+MIN(300,L4*60+M4)</f>
        <v>0</v>
      </c>
      <c r="P4" s="28"/>
      <c r="Q4" s="56"/>
      <c r="R4" s="28"/>
      <c r="S4" s="56"/>
      <c r="T4" s="28"/>
      <c r="U4" s="56"/>
      <c r="V4" s="28"/>
      <c r="W4" s="56"/>
      <c r="X4" s="28"/>
      <c r="Y4" s="56"/>
      <c r="Z4" s="53">
        <f>MIN(120,P4*60+Q4)+MIN(120,R4*60+S4)+MIN(120,T4*60+U4)+MIN(120,V4*60+W4)+MIN(120,X4*60+Y4)</f>
        <v>0</v>
      </c>
      <c r="AA4" s="2"/>
      <c r="AB4" s="28"/>
      <c r="AC4" s="56"/>
      <c r="AD4" s="28"/>
      <c r="AE4" s="56"/>
      <c r="AF4" s="28"/>
      <c r="AG4" s="56"/>
      <c r="AH4" s="28"/>
      <c r="AI4" s="56"/>
      <c r="AJ4" s="53">
        <f>MIN(60,AB4*60+AC4)+MIN(120,AD4*60+AE4)+MIN(180,AF4*60+AG4)+MIN(240,AH4*60+AI4)</f>
        <v>0</v>
      </c>
    </row>
    <row r="5" spans="1:36" x14ac:dyDescent="0.25">
      <c r="A5" s="32"/>
      <c r="B5" s="38"/>
      <c r="C5" s="47">
        <f t="shared" ref="C5:C7" si="0">H5+N5+Z5+AJ5</f>
        <v>0</v>
      </c>
      <c r="D5" s="30"/>
      <c r="E5" s="57"/>
      <c r="F5" s="30"/>
      <c r="G5" s="57"/>
      <c r="H5" s="54">
        <f t="shared" ref="H5:H7" si="1">MIN(240,D5*60+E5)+MIN(240,F5*60+G5)</f>
        <v>0</v>
      </c>
      <c r="I5" s="1"/>
      <c r="J5" s="30"/>
      <c r="K5" s="57"/>
      <c r="L5" s="30"/>
      <c r="M5" s="57"/>
      <c r="N5" s="54">
        <f t="shared" ref="N5:N7" si="2">MIN(300,J5*60+K5)+MIN(300,L5*60+M5)</f>
        <v>0</v>
      </c>
      <c r="P5" s="30"/>
      <c r="Q5" s="57"/>
      <c r="R5" s="30"/>
      <c r="S5" s="57"/>
      <c r="T5" s="30"/>
      <c r="U5" s="57"/>
      <c r="V5" s="30"/>
      <c r="W5" s="57"/>
      <c r="X5" s="30"/>
      <c r="Y5" s="57"/>
      <c r="Z5" s="54">
        <f t="shared" ref="Z5:Z7" si="3">MIN(120,P5*60+Q5)+MIN(120,R5*60+S5)+MIN(120,T5*60+U5)+MIN(120,V5*60+W5)+MIN(120,X5*60+Y5)</f>
        <v>0</v>
      </c>
      <c r="AB5" s="30"/>
      <c r="AC5" s="57"/>
      <c r="AD5" s="30"/>
      <c r="AE5" s="57"/>
      <c r="AF5" s="30"/>
      <c r="AG5" s="57"/>
      <c r="AH5" s="30"/>
      <c r="AI5" s="57"/>
      <c r="AJ5" s="54">
        <f t="shared" ref="AJ5:AJ7" si="4">MIN(60,AB5*60+AC5)+MIN(120,AD5*60+AE5)+MIN(180,AF5*60+AG5)+MIN(240,AH5*60+AI5)</f>
        <v>0</v>
      </c>
    </row>
    <row r="6" spans="1:36" x14ac:dyDescent="0.25">
      <c r="A6" s="32"/>
      <c r="B6" s="38"/>
      <c r="C6" s="47">
        <f t="shared" si="0"/>
        <v>0</v>
      </c>
      <c r="D6" s="30"/>
      <c r="E6" s="57"/>
      <c r="F6" s="30"/>
      <c r="G6" s="57"/>
      <c r="H6" s="54">
        <f t="shared" si="1"/>
        <v>0</v>
      </c>
      <c r="J6" s="30"/>
      <c r="K6" s="57"/>
      <c r="L6" s="30"/>
      <c r="M6" s="57"/>
      <c r="N6" s="54">
        <f t="shared" si="2"/>
        <v>0</v>
      </c>
      <c r="P6" s="30"/>
      <c r="Q6" s="57"/>
      <c r="R6" s="30"/>
      <c r="S6" s="57"/>
      <c r="T6" s="30"/>
      <c r="U6" s="57"/>
      <c r="V6" s="30"/>
      <c r="W6" s="57"/>
      <c r="X6" s="30"/>
      <c r="Y6" s="57"/>
      <c r="Z6" s="54">
        <f t="shared" si="3"/>
        <v>0</v>
      </c>
      <c r="AB6" s="30"/>
      <c r="AC6" s="57"/>
      <c r="AD6" s="30"/>
      <c r="AE6" s="57"/>
      <c r="AF6" s="30"/>
      <c r="AG6" s="57"/>
      <c r="AH6" s="30"/>
      <c r="AI6" s="57"/>
      <c r="AJ6" s="54">
        <f t="shared" si="4"/>
        <v>0</v>
      </c>
    </row>
    <row r="7" spans="1:36" x14ac:dyDescent="0.25">
      <c r="A7" s="32"/>
      <c r="B7" s="38"/>
      <c r="C7" s="47">
        <f t="shared" si="0"/>
        <v>0</v>
      </c>
      <c r="D7" s="30"/>
      <c r="E7" s="57"/>
      <c r="F7" s="30"/>
      <c r="G7" s="57"/>
      <c r="H7" s="54">
        <f t="shared" si="1"/>
        <v>0</v>
      </c>
      <c r="J7" s="30"/>
      <c r="K7" s="57"/>
      <c r="L7" s="30"/>
      <c r="M7" s="57"/>
      <c r="N7" s="54">
        <f t="shared" si="2"/>
        <v>0</v>
      </c>
      <c r="P7" s="30"/>
      <c r="Q7" s="57"/>
      <c r="R7" s="30"/>
      <c r="S7" s="57"/>
      <c r="T7" s="30"/>
      <c r="U7" s="57"/>
      <c r="V7" s="30"/>
      <c r="W7" s="57"/>
      <c r="X7" s="30"/>
      <c r="Y7" s="57"/>
      <c r="Z7" s="54">
        <f t="shared" si="3"/>
        <v>0</v>
      </c>
      <c r="AB7" s="30"/>
      <c r="AC7" s="57"/>
      <c r="AD7" s="30"/>
      <c r="AE7" s="57"/>
      <c r="AF7" s="30"/>
      <c r="AG7" s="57"/>
      <c r="AH7" s="30"/>
      <c r="AI7" s="57"/>
      <c r="AJ7" s="54">
        <f t="shared" si="4"/>
        <v>0</v>
      </c>
    </row>
    <row r="8" spans="1:36" x14ac:dyDescent="0.25">
      <c r="A8" s="32"/>
      <c r="B8" s="38"/>
      <c r="C8" s="47">
        <f t="shared" ref="C8:C23" si="5">H8+N8+Z8+AJ8</f>
        <v>0</v>
      </c>
      <c r="D8" s="30"/>
      <c r="E8" s="57"/>
      <c r="F8" s="30"/>
      <c r="G8" s="57"/>
      <c r="H8" s="54">
        <f t="shared" ref="H8:H23" si="6">MIN(240,D8*60+E8)+MIN(240,F8*60+G8)</f>
        <v>0</v>
      </c>
      <c r="J8" s="30"/>
      <c r="K8" s="57"/>
      <c r="L8" s="30"/>
      <c r="M8" s="57"/>
      <c r="N8" s="54">
        <f t="shared" ref="N8:N23" si="7">MIN(300,J8*60+K8)+MIN(300,L8*60+M8)</f>
        <v>0</v>
      </c>
      <c r="P8" s="30"/>
      <c r="Q8" s="57"/>
      <c r="R8" s="30"/>
      <c r="S8" s="57"/>
      <c r="T8" s="30"/>
      <c r="U8" s="57"/>
      <c r="V8" s="30"/>
      <c r="W8" s="57"/>
      <c r="X8" s="30"/>
      <c r="Y8" s="57"/>
      <c r="Z8" s="54">
        <f t="shared" ref="Z8:Z23" si="8">MIN(120,P8*60+Q8)+MIN(120,R8*60+S8)+MIN(120,T8*60+U8)+MIN(120,V8*60+W8)+MIN(120,X8*60+Y8)</f>
        <v>0</v>
      </c>
      <c r="AB8" s="30"/>
      <c r="AC8" s="57"/>
      <c r="AD8" s="30"/>
      <c r="AE8" s="57"/>
      <c r="AF8" s="30"/>
      <c r="AG8" s="57"/>
      <c r="AH8" s="30"/>
      <c r="AI8" s="57"/>
      <c r="AJ8" s="54">
        <f t="shared" ref="AJ8:AJ23" si="9">MIN(60,AB8*60+AC8)+MIN(120,AD8*60+AE8)+MIN(180,AF8*60+AG8)+MIN(240,AH8*60+AI8)</f>
        <v>0</v>
      </c>
    </row>
    <row r="9" spans="1:36" x14ac:dyDescent="0.25">
      <c r="A9" s="32"/>
      <c r="B9" s="38"/>
      <c r="C9" s="47">
        <f t="shared" si="5"/>
        <v>0</v>
      </c>
      <c r="D9" s="30"/>
      <c r="E9" s="57"/>
      <c r="F9" s="30"/>
      <c r="G9" s="57"/>
      <c r="H9" s="54">
        <f t="shared" si="6"/>
        <v>0</v>
      </c>
      <c r="J9" s="30"/>
      <c r="K9" s="57"/>
      <c r="L9" s="30"/>
      <c r="M9" s="57"/>
      <c r="N9" s="54">
        <f t="shared" si="7"/>
        <v>0</v>
      </c>
      <c r="P9" s="30"/>
      <c r="Q9" s="57"/>
      <c r="R9" s="30"/>
      <c r="S9" s="57"/>
      <c r="T9" s="30"/>
      <c r="U9" s="57"/>
      <c r="V9" s="30"/>
      <c r="W9" s="57"/>
      <c r="X9" s="30"/>
      <c r="Y9" s="57"/>
      <c r="Z9" s="54">
        <f t="shared" si="8"/>
        <v>0</v>
      </c>
      <c r="AB9" s="30"/>
      <c r="AC9" s="57"/>
      <c r="AD9" s="30"/>
      <c r="AE9" s="57"/>
      <c r="AF9" s="30"/>
      <c r="AG9" s="57"/>
      <c r="AH9" s="30"/>
      <c r="AI9" s="57"/>
      <c r="AJ9" s="54">
        <f t="shared" si="9"/>
        <v>0</v>
      </c>
    </row>
    <row r="10" spans="1:36" x14ac:dyDescent="0.25">
      <c r="A10" s="32"/>
      <c r="B10" s="38"/>
      <c r="C10" s="47">
        <f t="shared" si="5"/>
        <v>0</v>
      </c>
      <c r="D10" s="30"/>
      <c r="E10" s="57"/>
      <c r="F10" s="30"/>
      <c r="G10" s="57"/>
      <c r="H10" s="54">
        <f t="shared" si="6"/>
        <v>0</v>
      </c>
      <c r="J10" s="30"/>
      <c r="K10" s="57"/>
      <c r="L10" s="30"/>
      <c r="M10" s="57"/>
      <c r="N10" s="54">
        <f t="shared" si="7"/>
        <v>0</v>
      </c>
      <c r="P10" s="30"/>
      <c r="Q10" s="57"/>
      <c r="R10" s="30"/>
      <c r="S10" s="57"/>
      <c r="T10" s="30"/>
      <c r="U10" s="57"/>
      <c r="V10" s="30"/>
      <c r="W10" s="57"/>
      <c r="X10" s="30"/>
      <c r="Y10" s="57"/>
      <c r="Z10" s="54">
        <f t="shared" si="8"/>
        <v>0</v>
      </c>
      <c r="AB10" s="30"/>
      <c r="AC10" s="57"/>
      <c r="AD10" s="30"/>
      <c r="AE10" s="57"/>
      <c r="AF10" s="30"/>
      <c r="AG10" s="57"/>
      <c r="AH10" s="30"/>
      <c r="AI10" s="57"/>
      <c r="AJ10" s="54">
        <f t="shared" si="9"/>
        <v>0</v>
      </c>
    </row>
    <row r="11" spans="1:36" x14ac:dyDescent="0.25">
      <c r="A11" s="32"/>
      <c r="B11" s="38"/>
      <c r="C11" s="47">
        <f t="shared" si="5"/>
        <v>0</v>
      </c>
      <c r="D11" s="30"/>
      <c r="E11" s="57"/>
      <c r="F11" s="30"/>
      <c r="G11" s="57"/>
      <c r="H11" s="54">
        <f t="shared" si="6"/>
        <v>0</v>
      </c>
      <c r="J11" s="30"/>
      <c r="K11" s="57"/>
      <c r="L11" s="30"/>
      <c r="M11" s="57"/>
      <c r="N11" s="54">
        <f t="shared" si="7"/>
        <v>0</v>
      </c>
      <c r="P11" s="30"/>
      <c r="Q11" s="57"/>
      <c r="R11" s="30"/>
      <c r="S11" s="57"/>
      <c r="T11" s="30"/>
      <c r="U11" s="57"/>
      <c r="V11" s="30"/>
      <c r="W11" s="57"/>
      <c r="X11" s="30"/>
      <c r="Y11" s="57"/>
      <c r="Z11" s="54">
        <f t="shared" si="8"/>
        <v>0</v>
      </c>
      <c r="AB11" s="30"/>
      <c r="AC11" s="57"/>
      <c r="AD11" s="30"/>
      <c r="AE11" s="57"/>
      <c r="AF11" s="30"/>
      <c r="AG11" s="57"/>
      <c r="AH11" s="30"/>
      <c r="AI11" s="57"/>
      <c r="AJ11" s="54">
        <f t="shared" si="9"/>
        <v>0</v>
      </c>
    </row>
    <row r="12" spans="1:36" x14ac:dyDescent="0.25">
      <c r="A12" s="32"/>
      <c r="B12" s="38"/>
      <c r="C12" s="47">
        <f t="shared" si="5"/>
        <v>0</v>
      </c>
      <c r="D12" s="30"/>
      <c r="E12" s="57"/>
      <c r="F12" s="30"/>
      <c r="G12" s="57"/>
      <c r="H12" s="54">
        <f t="shared" si="6"/>
        <v>0</v>
      </c>
      <c r="J12" s="30"/>
      <c r="K12" s="57"/>
      <c r="L12" s="30"/>
      <c r="M12" s="57"/>
      <c r="N12" s="54">
        <f t="shared" si="7"/>
        <v>0</v>
      </c>
      <c r="P12" s="30"/>
      <c r="Q12" s="57"/>
      <c r="R12" s="30"/>
      <c r="S12" s="57"/>
      <c r="T12" s="30"/>
      <c r="U12" s="57"/>
      <c r="V12" s="30"/>
      <c r="W12" s="57"/>
      <c r="X12" s="30"/>
      <c r="Y12" s="57"/>
      <c r="Z12" s="54">
        <f t="shared" si="8"/>
        <v>0</v>
      </c>
      <c r="AB12" s="30"/>
      <c r="AC12" s="57"/>
      <c r="AD12" s="30"/>
      <c r="AE12" s="57"/>
      <c r="AF12" s="30"/>
      <c r="AG12" s="57"/>
      <c r="AH12" s="30"/>
      <c r="AI12" s="57"/>
      <c r="AJ12" s="54">
        <f t="shared" si="9"/>
        <v>0</v>
      </c>
    </row>
    <row r="13" spans="1:36" x14ac:dyDescent="0.25">
      <c r="A13" s="32"/>
      <c r="B13" s="38"/>
      <c r="C13" s="47">
        <f t="shared" si="5"/>
        <v>0</v>
      </c>
      <c r="D13" s="30"/>
      <c r="E13" s="57"/>
      <c r="F13" s="30"/>
      <c r="G13" s="57"/>
      <c r="H13" s="54">
        <f t="shared" si="6"/>
        <v>0</v>
      </c>
      <c r="J13" s="30"/>
      <c r="K13" s="57"/>
      <c r="L13" s="30"/>
      <c r="M13" s="57"/>
      <c r="N13" s="54">
        <f t="shared" si="7"/>
        <v>0</v>
      </c>
      <c r="P13" s="30"/>
      <c r="Q13" s="57"/>
      <c r="R13" s="30"/>
      <c r="S13" s="57"/>
      <c r="T13" s="30"/>
      <c r="U13" s="57"/>
      <c r="V13" s="30"/>
      <c r="W13" s="57"/>
      <c r="X13" s="30"/>
      <c r="Y13" s="57"/>
      <c r="Z13" s="54">
        <f t="shared" si="8"/>
        <v>0</v>
      </c>
      <c r="AB13" s="30"/>
      <c r="AC13" s="57"/>
      <c r="AD13" s="30"/>
      <c r="AE13" s="57"/>
      <c r="AF13" s="30"/>
      <c r="AG13" s="57"/>
      <c r="AH13" s="30"/>
      <c r="AI13" s="57"/>
      <c r="AJ13" s="54">
        <f t="shared" si="9"/>
        <v>0</v>
      </c>
    </row>
    <row r="14" spans="1:36" x14ac:dyDescent="0.25">
      <c r="A14" s="32"/>
      <c r="B14" s="38"/>
      <c r="C14" s="47">
        <f t="shared" si="5"/>
        <v>0</v>
      </c>
      <c r="D14" s="30"/>
      <c r="E14" s="57"/>
      <c r="F14" s="30"/>
      <c r="G14" s="57"/>
      <c r="H14" s="54">
        <f t="shared" si="6"/>
        <v>0</v>
      </c>
      <c r="J14" s="30"/>
      <c r="K14" s="57"/>
      <c r="L14" s="30"/>
      <c r="M14" s="57"/>
      <c r="N14" s="54">
        <f t="shared" si="7"/>
        <v>0</v>
      </c>
      <c r="P14" s="30"/>
      <c r="Q14" s="57"/>
      <c r="R14" s="30"/>
      <c r="S14" s="57"/>
      <c r="T14" s="30"/>
      <c r="U14" s="57"/>
      <c r="V14" s="30"/>
      <c r="W14" s="57"/>
      <c r="X14" s="30"/>
      <c r="Y14" s="57"/>
      <c r="Z14" s="54">
        <f t="shared" si="8"/>
        <v>0</v>
      </c>
      <c r="AB14" s="30"/>
      <c r="AC14" s="57"/>
      <c r="AD14" s="30"/>
      <c r="AE14" s="57"/>
      <c r="AF14" s="30"/>
      <c r="AG14" s="57"/>
      <c r="AH14" s="30"/>
      <c r="AI14" s="57"/>
      <c r="AJ14" s="54">
        <f t="shared" si="9"/>
        <v>0</v>
      </c>
    </row>
    <row r="15" spans="1:36" x14ac:dyDescent="0.25">
      <c r="A15" s="32"/>
      <c r="B15" s="38"/>
      <c r="C15" s="47">
        <f t="shared" si="5"/>
        <v>0</v>
      </c>
      <c r="D15" s="30"/>
      <c r="E15" s="57"/>
      <c r="F15" s="30"/>
      <c r="G15" s="57"/>
      <c r="H15" s="54">
        <f t="shared" si="6"/>
        <v>0</v>
      </c>
      <c r="J15" s="30"/>
      <c r="K15" s="57"/>
      <c r="L15" s="30"/>
      <c r="M15" s="57"/>
      <c r="N15" s="54">
        <f t="shared" si="7"/>
        <v>0</v>
      </c>
      <c r="P15" s="30"/>
      <c r="Q15" s="57"/>
      <c r="R15" s="30"/>
      <c r="S15" s="57"/>
      <c r="T15" s="30"/>
      <c r="U15" s="57"/>
      <c r="V15" s="30"/>
      <c r="W15" s="57"/>
      <c r="X15" s="30"/>
      <c r="Y15" s="57"/>
      <c r="Z15" s="54">
        <f t="shared" si="8"/>
        <v>0</v>
      </c>
      <c r="AB15" s="30"/>
      <c r="AC15" s="57"/>
      <c r="AD15" s="30"/>
      <c r="AE15" s="57"/>
      <c r="AF15" s="30"/>
      <c r="AG15" s="57"/>
      <c r="AH15" s="30"/>
      <c r="AI15" s="57"/>
      <c r="AJ15" s="54">
        <f t="shared" si="9"/>
        <v>0</v>
      </c>
    </row>
    <row r="16" spans="1:36" x14ac:dyDescent="0.25">
      <c r="A16" s="32"/>
      <c r="B16" s="38"/>
      <c r="C16" s="47">
        <f t="shared" si="5"/>
        <v>0</v>
      </c>
      <c r="D16" s="30"/>
      <c r="E16" s="57"/>
      <c r="F16" s="30"/>
      <c r="G16" s="57"/>
      <c r="H16" s="54">
        <f t="shared" si="6"/>
        <v>0</v>
      </c>
      <c r="J16" s="30"/>
      <c r="K16" s="57"/>
      <c r="L16" s="30"/>
      <c r="M16" s="57"/>
      <c r="N16" s="54">
        <f t="shared" si="7"/>
        <v>0</v>
      </c>
      <c r="P16" s="30"/>
      <c r="Q16" s="57"/>
      <c r="R16" s="30"/>
      <c r="S16" s="57"/>
      <c r="T16" s="30"/>
      <c r="U16" s="57"/>
      <c r="V16" s="30"/>
      <c r="W16" s="57"/>
      <c r="X16" s="30"/>
      <c r="Y16" s="57"/>
      <c r="Z16" s="54">
        <f t="shared" si="8"/>
        <v>0</v>
      </c>
      <c r="AB16" s="30"/>
      <c r="AC16" s="57"/>
      <c r="AD16" s="30"/>
      <c r="AE16" s="57"/>
      <c r="AF16" s="30"/>
      <c r="AG16" s="57"/>
      <c r="AH16" s="30"/>
      <c r="AI16" s="57"/>
      <c r="AJ16" s="54">
        <f t="shared" si="9"/>
        <v>0</v>
      </c>
    </row>
    <row r="17" spans="1:36" x14ac:dyDescent="0.25">
      <c r="A17" s="32"/>
      <c r="B17" s="38"/>
      <c r="C17" s="47">
        <f t="shared" si="5"/>
        <v>0</v>
      </c>
      <c r="D17" s="30"/>
      <c r="E17" s="57"/>
      <c r="F17" s="30"/>
      <c r="G17" s="57"/>
      <c r="H17" s="54">
        <f t="shared" si="6"/>
        <v>0</v>
      </c>
      <c r="J17" s="30"/>
      <c r="K17" s="57"/>
      <c r="L17" s="30"/>
      <c r="M17" s="57"/>
      <c r="N17" s="54">
        <f t="shared" si="7"/>
        <v>0</v>
      </c>
      <c r="P17" s="30"/>
      <c r="Q17" s="57"/>
      <c r="R17" s="30"/>
      <c r="S17" s="57"/>
      <c r="T17" s="30"/>
      <c r="U17" s="57"/>
      <c r="V17" s="30"/>
      <c r="W17" s="57"/>
      <c r="X17" s="30"/>
      <c r="Y17" s="57"/>
      <c r="Z17" s="54">
        <f t="shared" si="8"/>
        <v>0</v>
      </c>
      <c r="AB17" s="30"/>
      <c r="AC17" s="57"/>
      <c r="AD17" s="30"/>
      <c r="AE17" s="57"/>
      <c r="AF17" s="30"/>
      <c r="AG17" s="57"/>
      <c r="AH17" s="30"/>
      <c r="AI17" s="57"/>
      <c r="AJ17" s="54">
        <f t="shared" si="9"/>
        <v>0</v>
      </c>
    </row>
    <row r="18" spans="1:36" x14ac:dyDescent="0.25">
      <c r="A18" s="32"/>
      <c r="B18" s="38"/>
      <c r="C18" s="47">
        <f t="shared" si="5"/>
        <v>0</v>
      </c>
      <c r="D18" s="30"/>
      <c r="E18" s="57"/>
      <c r="F18" s="30"/>
      <c r="G18" s="57"/>
      <c r="H18" s="54">
        <f t="shared" si="6"/>
        <v>0</v>
      </c>
      <c r="J18" s="30"/>
      <c r="K18" s="57"/>
      <c r="L18" s="30"/>
      <c r="M18" s="57"/>
      <c r="N18" s="54">
        <f t="shared" si="7"/>
        <v>0</v>
      </c>
      <c r="P18" s="30"/>
      <c r="Q18" s="57"/>
      <c r="R18" s="30"/>
      <c r="S18" s="57"/>
      <c r="T18" s="30"/>
      <c r="U18" s="57"/>
      <c r="V18" s="30"/>
      <c r="W18" s="57"/>
      <c r="X18" s="30"/>
      <c r="Y18" s="57"/>
      <c r="Z18" s="54">
        <f t="shared" si="8"/>
        <v>0</v>
      </c>
      <c r="AB18" s="30"/>
      <c r="AC18" s="57"/>
      <c r="AD18" s="30"/>
      <c r="AE18" s="57"/>
      <c r="AF18" s="30"/>
      <c r="AG18" s="57"/>
      <c r="AH18" s="30"/>
      <c r="AI18" s="57"/>
      <c r="AJ18" s="54">
        <f t="shared" si="9"/>
        <v>0</v>
      </c>
    </row>
    <row r="19" spans="1:36" x14ac:dyDescent="0.25">
      <c r="A19" s="32"/>
      <c r="B19" s="38"/>
      <c r="C19" s="47">
        <f t="shared" si="5"/>
        <v>0</v>
      </c>
      <c r="D19" s="30"/>
      <c r="E19" s="57"/>
      <c r="F19" s="30"/>
      <c r="G19" s="57"/>
      <c r="H19" s="54">
        <f t="shared" si="6"/>
        <v>0</v>
      </c>
      <c r="J19" s="30"/>
      <c r="K19" s="57"/>
      <c r="L19" s="30"/>
      <c r="M19" s="57"/>
      <c r="N19" s="54">
        <f t="shared" si="7"/>
        <v>0</v>
      </c>
      <c r="P19" s="30"/>
      <c r="Q19" s="57"/>
      <c r="R19" s="30"/>
      <c r="S19" s="57"/>
      <c r="T19" s="30"/>
      <c r="U19" s="57"/>
      <c r="V19" s="30"/>
      <c r="W19" s="57"/>
      <c r="X19" s="30"/>
      <c r="Y19" s="57"/>
      <c r="Z19" s="54">
        <f t="shared" si="8"/>
        <v>0</v>
      </c>
      <c r="AB19" s="30"/>
      <c r="AC19" s="57"/>
      <c r="AD19" s="30"/>
      <c r="AE19" s="57"/>
      <c r="AF19" s="30"/>
      <c r="AG19" s="57"/>
      <c r="AH19" s="30"/>
      <c r="AI19" s="57"/>
      <c r="AJ19" s="54">
        <f t="shared" si="9"/>
        <v>0</v>
      </c>
    </row>
    <row r="20" spans="1:36" x14ac:dyDescent="0.25">
      <c r="A20" s="32"/>
      <c r="B20" s="38"/>
      <c r="C20" s="47">
        <f t="shared" si="5"/>
        <v>0</v>
      </c>
      <c r="D20" s="30"/>
      <c r="E20" s="57"/>
      <c r="F20" s="30"/>
      <c r="G20" s="57"/>
      <c r="H20" s="54">
        <f t="shared" si="6"/>
        <v>0</v>
      </c>
      <c r="J20" s="30"/>
      <c r="K20" s="57"/>
      <c r="L20" s="30"/>
      <c r="M20" s="57"/>
      <c r="N20" s="54">
        <f t="shared" si="7"/>
        <v>0</v>
      </c>
      <c r="P20" s="30"/>
      <c r="Q20" s="57"/>
      <c r="R20" s="30"/>
      <c r="S20" s="57"/>
      <c r="T20" s="30"/>
      <c r="U20" s="57"/>
      <c r="V20" s="30"/>
      <c r="W20" s="57"/>
      <c r="X20" s="30"/>
      <c r="Y20" s="57"/>
      <c r="Z20" s="54">
        <f t="shared" si="8"/>
        <v>0</v>
      </c>
      <c r="AB20" s="30"/>
      <c r="AC20" s="57"/>
      <c r="AD20" s="30"/>
      <c r="AE20" s="57"/>
      <c r="AF20" s="30"/>
      <c r="AG20" s="57"/>
      <c r="AH20" s="30"/>
      <c r="AI20" s="57"/>
      <c r="AJ20" s="54">
        <f t="shared" si="9"/>
        <v>0</v>
      </c>
    </row>
    <row r="21" spans="1:36" x14ac:dyDescent="0.25">
      <c r="A21" s="32"/>
      <c r="B21" s="38"/>
      <c r="C21" s="47">
        <f t="shared" si="5"/>
        <v>0</v>
      </c>
      <c r="D21" s="30"/>
      <c r="E21" s="57"/>
      <c r="F21" s="30"/>
      <c r="G21" s="57"/>
      <c r="H21" s="54">
        <f t="shared" si="6"/>
        <v>0</v>
      </c>
      <c r="J21" s="30"/>
      <c r="K21" s="57"/>
      <c r="L21" s="30"/>
      <c r="M21" s="57"/>
      <c r="N21" s="54">
        <f t="shared" si="7"/>
        <v>0</v>
      </c>
      <c r="P21" s="30"/>
      <c r="Q21" s="57"/>
      <c r="R21" s="30"/>
      <c r="S21" s="57"/>
      <c r="T21" s="30"/>
      <c r="U21" s="57"/>
      <c r="V21" s="30"/>
      <c r="W21" s="57"/>
      <c r="X21" s="30"/>
      <c r="Y21" s="57"/>
      <c r="Z21" s="54">
        <f t="shared" si="8"/>
        <v>0</v>
      </c>
      <c r="AB21" s="30"/>
      <c r="AC21" s="57"/>
      <c r="AD21" s="30"/>
      <c r="AE21" s="57"/>
      <c r="AF21" s="30"/>
      <c r="AG21" s="57"/>
      <c r="AH21" s="30"/>
      <c r="AI21" s="57"/>
      <c r="AJ21" s="54">
        <f t="shared" si="9"/>
        <v>0</v>
      </c>
    </row>
    <row r="22" spans="1:36" x14ac:dyDescent="0.25">
      <c r="A22" s="32"/>
      <c r="B22" s="38"/>
      <c r="C22" s="47">
        <f t="shared" si="5"/>
        <v>0</v>
      </c>
      <c r="D22" s="30"/>
      <c r="E22" s="57"/>
      <c r="F22" s="30"/>
      <c r="G22" s="57"/>
      <c r="H22" s="54">
        <f t="shared" si="6"/>
        <v>0</v>
      </c>
      <c r="J22" s="30"/>
      <c r="K22" s="57"/>
      <c r="L22" s="30"/>
      <c r="M22" s="57"/>
      <c r="N22" s="54">
        <f t="shared" si="7"/>
        <v>0</v>
      </c>
      <c r="P22" s="30"/>
      <c r="Q22" s="57"/>
      <c r="R22" s="30"/>
      <c r="S22" s="57"/>
      <c r="T22" s="30"/>
      <c r="U22" s="57"/>
      <c r="V22" s="30"/>
      <c r="W22" s="57"/>
      <c r="X22" s="30"/>
      <c r="Y22" s="57"/>
      <c r="Z22" s="54">
        <f t="shared" si="8"/>
        <v>0</v>
      </c>
      <c r="AB22" s="30"/>
      <c r="AC22" s="57"/>
      <c r="AD22" s="30"/>
      <c r="AE22" s="57"/>
      <c r="AF22" s="30"/>
      <c r="AG22" s="57"/>
      <c r="AH22" s="30"/>
      <c r="AI22" s="57"/>
      <c r="AJ22" s="54">
        <f t="shared" si="9"/>
        <v>0</v>
      </c>
    </row>
    <row r="23" spans="1:36" ht="15.75" thickBot="1" x14ac:dyDescent="0.3">
      <c r="A23" s="33"/>
      <c r="B23" s="39"/>
      <c r="C23" s="48">
        <f t="shared" si="5"/>
        <v>0</v>
      </c>
      <c r="D23" s="58"/>
      <c r="E23" s="59"/>
      <c r="F23" s="58"/>
      <c r="G23" s="59"/>
      <c r="H23" s="55">
        <f t="shared" si="6"/>
        <v>0</v>
      </c>
      <c r="J23" s="58"/>
      <c r="K23" s="59"/>
      <c r="L23" s="58"/>
      <c r="M23" s="59"/>
      <c r="N23" s="55">
        <f t="shared" si="7"/>
        <v>0</v>
      </c>
      <c r="P23" s="58"/>
      <c r="Q23" s="59"/>
      <c r="R23" s="58"/>
      <c r="S23" s="59"/>
      <c r="T23" s="58"/>
      <c r="U23" s="59"/>
      <c r="V23" s="58"/>
      <c r="W23" s="59"/>
      <c r="X23" s="58"/>
      <c r="Y23" s="59"/>
      <c r="Z23" s="55">
        <f t="shared" si="8"/>
        <v>0</v>
      </c>
      <c r="AB23" s="58"/>
      <c r="AC23" s="59"/>
      <c r="AD23" s="58"/>
      <c r="AE23" s="59"/>
      <c r="AF23" s="58"/>
      <c r="AG23" s="59"/>
      <c r="AH23" s="58"/>
      <c r="AI23" s="59"/>
      <c r="AJ23" s="55">
        <f t="shared" si="9"/>
        <v>0</v>
      </c>
    </row>
  </sheetData>
  <sheetProtection algorithmName="SHA-512" hashValue="O+SlOXM3Zd8ls181JlbkambB6hCUU/da1tK+aiLmuX25v1FLY6xUEsgQ2WMspxl/XcfU5UHPKxSBQf1BSraWNw==" saltValue="yHoMMHFh9Xnh2nksLlM9+g==" spinCount="100000" sheet="1" objects="1" scenarios="1"/>
  <mergeCells count="13">
    <mergeCell ref="R2:S2"/>
    <mergeCell ref="D2:E2"/>
    <mergeCell ref="F2:G2"/>
    <mergeCell ref="J2:K2"/>
    <mergeCell ref="L2:M2"/>
    <mergeCell ref="P2:Q2"/>
    <mergeCell ref="AH2:AI2"/>
    <mergeCell ref="T2:U2"/>
    <mergeCell ref="V2:W2"/>
    <mergeCell ref="X2:Y2"/>
    <mergeCell ref="AB2:AC2"/>
    <mergeCell ref="AD2:AE2"/>
    <mergeCell ref="AF2:AG2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ALES 123</vt:lpstr>
      <vt:lpstr>ALES 123 Alternate</vt:lpstr>
      <vt:lpstr>ALES 200</vt:lpstr>
      <vt:lpstr>ALES 200 Alternate</vt:lpstr>
      <vt:lpstr>ALES Radian</vt:lpstr>
      <vt:lpstr>X5J</vt:lpstr>
      <vt:lpstr>F5J</vt:lpstr>
      <vt:lpstr>F3K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</dc:creator>
  <cp:lastModifiedBy>User</cp:lastModifiedBy>
  <dcterms:created xsi:type="dcterms:W3CDTF">2020-10-18T07:38:05Z</dcterms:created>
  <dcterms:modified xsi:type="dcterms:W3CDTF">2021-01-19T03:58:01Z</dcterms:modified>
</cp:coreProperties>
</file>